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-Maria/Documents/Trainingsplanung/Leistungsdiagnostik/LD/24_Laufcamp_Achensee/"/>
    </mc:Choice>
  </mc:AlternateContent>
  <xr:revisionPtr revIDLastSave="0" documentId="13_ncr:1_{1CB3C041-D574-DD4E-90A0-511A92E5D41D}" xr6:coauthVersionLast="47" xr6:coauthVersionMax="47" xr10:uidLastSave="{00000000-0000-0000-0000-000000000000}"/>
  <bookViews>
    <workbookView xWindow="0" yWindow="500" windowWidth="28800" windowHeight="16000" activeTab="1" xr2:uid="{00000000-000D-0000-FFFF-FFFF00000000}"/>
  </bookViews>
  <sheets>
    <sheet name="Deckblatt" sheetId="5" r:id="rId1"/>
    <sheet name="Auswertung" sheetId="3" r:id="rId2"/>
    <sheet name="b" sheetId="1" r:id="rId3"/>
    <sheet name="kubische Gleichung" sheetId="4" r:id="rId4"/>
  </sheets>
  <externalReferences>
    <externalReference r:id="rId5"/>
  </externalReferences>
  <definedNames>
    <definedName name="___c">#REF!</definedName>
    <definedName name="__c" localSheetId="1">#REF!</definedName>
    <definedName name="__c">#REF!</definedName>
    <definedName name="a" localSheetId="1">#REF!</definedName>
    <definedName name="a" localSheetId="3">#REF!</definedName>
    <definedName name="a">#REF!</definedName>
    <definedName name="b" localSheetId="1">#REF!</definedName>
    <definedName name="b" localSheetId="3">#REF!</definedName>
    <definedName name="b">#REF!</definedName>
    <definedName name="_xlnm.Print_Area" localSheetId="3">'kubische Gleichung'!$B$1:$K$42</definedName>
    <definedName name="ja_nein">b!$V$2:$V$3</definedName>
    <definedName name="janein" localSheetId="1">Auswertung!$H$12</definedName>
    <definedName name="p" localSheetId="1">#REF!</definedName>
    <definedName name="p" localSheetId="3">#REF!</definedName>
    <definedName name="p">#REF!</definedName>
    <definedName name="q" localSheetId="1">#REF!</definedName>
    <definedName name="q" localSheetId="3">#REF!</definedName>
    <definedName name="q">#REF!</definedName>
    <definedName name="solver_drv" localSheetId="3" hidden="1">1</definedName>
    <definedName name="solver_est" localSheetId="3" hidden="1">1</definedName>
    <definedName name="solver_itr" localSheetId="3" hidden="1">100</definedName>
    <definedName name="solver_lin" localSheetId="3" hidden="1">0</definedName>
    <definedName name="solver_num" localSheetId="3" hidden="1">0</definedName>
    <definedName name="solver_nwt" localSheetId="3" hidden="1">1</definedName>
    <definedName name="solver_pre" localSheetId="3" hidden="1">0.000001</definedName>
    <definedName name="solver_scl" localSheetId="3" hidden="1">0</definedName>
    <definedName name="solver_sho" localSheetId="3" hidden="1">0</definedName>
    <definedName name="solver_tim" localSheetId="3" hidden="1">100</definedName>
    <definedName name="solver_tol" localSheetId="3" hidden="1">0.05</definedName>
    <definedName name="solver_typ" localSheetId="3" hidden="1">1</definedName>
    <definedName name="solver_val" localSheetId="3" hidden="1">0</definedName>
    <definedName name="Tabelle">[1]Rang!$A$1:$J$20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B23" i="3"/>
  <c r="P21" i="1" l="1"/>
  <c r="G2" i="3"/>
  <c r="F2" i="3"/>
  <c r="D12" i="1"/>
  <c r="B12" i="1"/>
  <c r="C12" i="1"/>
  <c r="C3" i="1"/>
  <c r="D4" i="1"/>
  <c r="D5" i="1"/>
  <c r="D6" i="1"/>
  <c r="D7" i="1"/>
  <c r="D8" i="1"/>
  <c r="D9" i="1"/>
  <c r="D10" i="1"/>
  <c r="C4" i="1"/>
  <c r="C5" i="1"/>
  <c r="C6" i="1"/>
  <c r="C7" i="1"/>
  <c r="C8" i="1"/>
  <c r="C9" i="1"/>
  <c r="B4" i="1"/>
  <c r="B5" i="1"/>
  <c r="B6" i="1"/>
  <c r="B7" i="1"/>
  <c r="B8" i="1"/>
  <c r="B9" i="1"/>
  <c r="B10" i="1"/>
  <c r="B11" i="1"/>
  <c r="B3" i="1"/>
  <c r="A18" i="3"/>
  <c r="B29" i="3"/>
  <c r="C29" i="3"/>
  <c r="D29" i="3"/>
  <c r="B30" i="3"/>
  <c r="C30" i="3"/>
  <c r="D30" i="3"/>
  <c r="B31" i="3"/>
  <c r="C31" i="3"/>
  <c r="D31" i="3"/>
  <c r="B32" i="3"/>
  <c r="C32" i="3"/>
  <c r="D32" i="3"/>
  <c r="B33" i="3"/>
  <c r="C33" i="3"/>
  <c r="D33" i="3"/>
  <c r="B35" i="1"/>
  <c r="C35" i="1" s="1"/>
  <c r="C22" i="1" l="1"/>
  <c r="C18" i="3"/>
  <c r="F3" i="1" l="1"/>
  <c r="B24" i="3" s="1"/>
  <c r="B22" i="3"/>
  <c r="A27" i="3"/>
  <c r="D2" i="4" l="1"/>
  <c r="D3" i="4"/>
  <c r="D4" i="4" l="1"/>
  <c r="D5" i="4"/>
  <c r="C25" i="1" l="1"/>
  <c r="F6" i="1" s="1"/>
  <c r="C23" i="1" l="1"/>
  <c r="C22" i="3" s="1"/>
  <c r="C24" i="1"/>
  <c r="D22" i="3" s="1"/>
  <c r="D23" i="3" s="1"/>
  <c r="C26" i="1"/>
  <c r="E22" i="3" s="1"/>
  <c r="E23" i="3" s="1"/>
  <c r="C27" i="1"/>
  <c r="F22" i="3" s="1"/>
  <c r="F23" i="3" s="1"/>
  <c r="C28" i="1"/>
  <c r="F9" i="1" s="1"/>
  <c r="C29" i="1"/>
  <c r="F10" i="1" s="1"/>
  <c r="G19" i="4"/>
  <c r="G20" i="4" s="1"/>
  <c r="G14" i="4"/>
  <c r="G13" i="4"/>
  <c r="B13" i="4"/>
  <c r="G12" i="4"/>
  <c r="B8" i="4"/>
  <c r="E6" i="4"/>
  <c r="F5" i="4"/>
  <c r="H5" i="4" s="1"/>
  <c r="F4" i="4"/>
  <c r="F3" i="4"/>
  <c r="H3" i="4" s="1"/>
  <c r="L2" i="4"/>
  <c r="F4" i="1" l="1"/>
  <c r="C24" i="3" s="1"/>
  <c r="F7" i="1"/>
  <c r="G22" i="3"/>
  <c r="G23" i="3" s="1"/>
  <c r="E10" i="4"/>
  <c r="F5" i="1"/>
  <c r="F8" i="1"/>
  <c r="H12" i="4"/>
  <c r="H20" i="4"/>
  <c r="G21" i="4"/>
  <c r="H4" i="4"/>
  <c r="H2" i="4" s="1"/>
  <c r="B5" i="4" s="1"/>
  <c r="B6" i="4" s="1"/>
  <c r="G1" i="4"/>
  <c r="G7" i="4" s="1"/>
  <c r="H19" i="4"/>
  <c r="H13" i="4"/>
  <c r="G2" i="4"/>
  <c r="E9" i="4" l="1"/>
  <c r="H9" i="4"/>
  <c r="H7" i="4"/>
  <c r="G9" i="4" s="1"/>
  <c r="G5" i="4"/>
  <c r="G22" i="4"/>
  <c r="H21" i="4"/>
  <c r="G24" i="3"/>
  <c r="D24" i="3"/>
  <c r="E24" i="3"/>
  <c r="F24" i="3"/>
  <c r="F10" i="4" l="1"/>
  <c r="H10" i="4" s="1"/>
  <c r="H22" i="4"/>
  <c r="G23" i="4"/>
  <c r="G10" i="4"/>
  <c r="F11" i="4" s="1"/>
  <c r="H11" i="4" s="1"/>
  <c r="D1" i="4"/>
  <c r="G24" i="4" l="1"/>
  <c r="H23" i="4"/>
  <c r="C10" i="4"/>
  <c r="C11" i="4"/>
  <c r="D11" i="4" s="1"/>
  <c r="F9" i="4"/>
  <c r="H8" i="4" l="1"/>
  <c r="C9" i="4" s="1"/>
  <c r="D9" i="4" s="1"/>
  <c r="D10" i="4"/>
  <c r="H24" i="4"/>
  <c r="G25" i="4"/>
  <c r="B7" i="4" l="1"/>
  <c r="E8" i="4"/>
  <c r="G26" i="4"/>
  <c r="H25" i="4"/>
  <c r="H26" i="4" l="1"/>
  <c r="G27" i="4"/>
  <c r="G28" i="4" l="1"/>
  <c r="H27" i="4"/>
  <c r="H28" i="4" l="1"/>
  <c r="G29" i="4"/>
  <c r="G30" i="4" l="1"/>
  <c r="H29" i="4"/>
  <c r="H30" i="4" l="1"/>
  <c r="G31" i="4"/>
  <c r="G32" i="4" l="1"/>
  <c r="H31" i="4"/>
  <c r="H32" i="4" l="1"/>
  <c r="G33" i="4"/>
  <c r="G34" i="4" l="1"/>
  <c r="H33" i="4"/>
  <c r="H34" i="4" l="1"/>
  <c r="G35" i="4"/>
  <c r="G36" i="4" l="1"/>
  <c r="H35" i="4"/>
  <c r="H36" i="4" l="1"/>
  <c r="G37" i="4"/>
  <c r="G38" i="4" l="1"/>
  <c r="H37" i="4"/>
  <c r="H38" i="4" l="1"/>
  <c r="G39" i="4"/>
  <c r="G40" i="4" l="1"/>
  <c r="H39" i="4"/>
  <c r="H40" i="4" l="1"/>
  <c r="G41" i="4"/>
  <c r="G42" i="4" l="1"/>
  <c r="H41" i="4"/>
  <c r="H42" i="4" l="1"/>
  <c r="G43" i="4"/>
  <c r="G44" i="4" l="1"/>
  <c r="H43" i="4"/>
  <c r="H44" i="4" l="1"/>
  <c r="G45" i="4"/>
  <c r="G46" i="4" l="1"/>
  <c r="H45" i="4"/>
  <c r="H46" i="4" l="1"/>
  <c r="G47" i="4"/>
  <c r="G48" i="4" l="1"/>
  <c r="H48" i="4" s="1"/>
  <c r="H47" i="4"/>
  <c r="D3" i="1"/>
  <c r="P26" i="1" s="1"/>
  <c r="C10" i="1"/>
  <c r="C11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Ein geschätzter Microsoft Office Anwender</author>
    <author>WF</author>
  </authors>
  <commentList>
    <comment ref="B1" authorId="0" shapeId="0" xr:uid="{00000000-0006-0000-0200-000001000000}">
      <text>
        <r>
          <rPr>
            <sz val="8"/>
            <color indexed="81"/>
            <rFont val="Tahoma"/>
            <family val="2"/>
          </rPr>
          <t>Gibt es nur eine Lösung und 2 komplexe Wurzeln,
erfolgte die Berechnung mit der Cardanischen Formel; -
bei 3 Lösungen (casus irreducibilis) erfolgte die 
Berechnung über imaginäre Zahlen mit einer trigonometrischen Lösung.</t>
        </r>
      </text>
    </comment>
    <comment ref="X1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
Das Programm wurde entwickelt von 
Walter Fricke, Derendorf  (WF)</t>
        </r>
      </text>
    </comment>
    <comment ref="L2" authorId="1" shapeId="0" xr:uid="{00000000-0006-0000-0200-000003000000}">
      <text>
        <r>
          <rPr>
            <sz val="8"/>
            <color indexed="81"/>
            <rFont val="Tahoma"/>
            <family val="2"/>
          </rPr>
          <t xml:space="preserve">Zielzelle: L2
Zielwert: 0
veränderbare Zelle: K2
</t>
        </r>
      </text>
    </comment>
    <comment ref="D6" authorId="0" shapeId="0" xr:uid="{00000000-0006-0000-0200-000004000000}">
      <text>
        <r>
          <rPr>
            <sz val="8"/>
            <color rgb="FF000000"/>
            <rFont val="Tahoma"/>
            <family val="2"/>
          </rPr>
          <t xml:space="preserve">Liegt die Gleichung nicht in der allgemeinen Form (= 0) 
</t>
        </r>
        <r>
          <rPr>
            <sz val="8"/>
            <color rgb="FF000000"/>
            <rFont val="Tahoma"/>
            <family val="2"/>
          </rPr>
          <t xml:space="preserve">vor, kann hier der entsprechende Wert als = e
</t>
        </r>
        <r>
          <rPr>
            <sz val="8"/>
            <color rgb="FF000000"/>
            <rFont val="Tahoma"/>
            <family val="2"/>
          </rPr>
          <t>eingegeben werden.</t>
        </r>
      </text>
    </comment>
    <comment ref="B12" authorId="0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andere Nachkommarundungsstellen als automatisch (Taste Entf) 6 bei voraussichtlich ganzen Zahlen bzw. 16 sonst
</t>
        </r>
      </text>
    </comment>
  </commentList>
</comments>
</file>

<file path=xl/sharedStrings.xml><?xml version="1.0" encoding="utf-8"?>
<sst xmlns="http://schemas.openxmlformats.org/spreadsheetml/2006/main" count="149" uniqueCount="126">
  <si>
    <t>über Zielwertsuche</t>
  </si>
  <si>
    <t xml:space="preserve">  =  a </t>
  </si>
  <si>
    <t xml:space="preserve">  =  b </t>
  </si>
  <si>
    <t xml:space="preserve">  =  c </t>
  </si>
  <si>
    <r>
      <t>x</t>
    </r>
    <r>
      <rPr>
        <b/>
        <sz val="9"/>
        <rFont val="Arial"/>
        <family val="2"/>
      </rPr>
      <t>1</t>
    </r>
    <r>
      <rPr>
        <b/>
        <sz val="12"/>
        <rFont val="Arial"/>
        <family val="2"/>
      </rPr>
      <t xml:space="preserve"> =     </t>
    </r>
  </si>
  <si>
    <t/>
  </si>
  <si>
    <t>x</t>
  </si>
  <si>
    <t>y</t>
  </si>
  <si>
    <t>Herzfrequenz (bpm)</t>
  </si>
  <si>
    <t>Laktat (mmol/l)</t>
  </si>
  <si>
    <t>Datum/Uhrzeit</t>
  </si>
  <si>
    <t>Testleiter</t>
  </si>
  <si>
    <t>Vorname</t>
  </si>
  <si>
    <t>Name</t>
  </si>
  <si>
    <t>Größe (m)</t>
  </si>
  <si>
    <t>Gewicht (kg)</t>
  </si>
  <si>
    <t>max. Ausbelastung</t>
  </si>
  <si>
    <t>Zusatzinfo</t>
  </si>
  <si>
    <t xml:space="preserve"> </t>
  </si>
  <si>
    <t>letzte Stufe</t>
  </si>
  <si>
    <t>Laktat</t>
  </si>
  <si>
    <t>HR (bpm)</t>
  </si>
  <si>
    <t>Empfehlung</t>
  </si>
  <si>
    <t>Trainingsbereiche</t>
  </si>
  <si>
    <t>HF (bpm)</t>
  </si>
  <si>
    <t>k --&gt;</t>
  </si>
  <si>
    <t>d --&gt;</t>
  </si>
  <si>
    <t>k--&gt;</t>
  </si>
  <si>
    <t>d--&gt;</t>
  </si>
  <si>
    <t xml:space="preserve">kubische Gleichung </t>
  </si>
  <si>
    <t>p</t>
  </si>
  <si>
    <t>ax³ + bx² + cx + d = 0</t>
  </si>
  <si>
    <t>q</t>
  </si>
  <si>
    <t>allgemeine Form der</t>
  </si>
  <si>
    <t xml:space="preserve">kubischen Gleichung </t>
  </si>
  <si>
    <t xml:space="preserve">  =  d</t>
  </si>
  <si>
    <t>r</t>
  </si>
  <si>
    <t>gamma</t>
  </si>
  <si>
    <r>
      <t>x</t>
    </r>
    <r>
      <rPr>
        <b/>
        <sz val="9"/>
        <rFont val="Arial"/>
        <family val="2"/>
      </rPr>
      <t xml:space="preserve">2 </t>
    </r>
    <r>
      <rPr>
        <b/>
        <sz val="12"/>
        <rFont val="Arial"/>
        <family val="2"/>
      </rPr>
      <t xml:space="preserve">=     </t>
    </r>
  </si>
  <si>
    <r>
      <t>x</t>
    </r>
    <r>
      <rPr>
        <b/>
        <sz val="9"/>
        <rFont val="Arial"/>
        <family val="2"/>
      </rPr>
      <t>3</t>
    </r>
    <r>
      <rPr>
        <b/>
        <sz val="12"/>
        <rFont val="Arial"/>
        <family val="2"/>
      </rPr>
      <t xml:space="preserve"> =     </t>
    </r>
  </si>
  <si>
    <t>erste Ableitung</t>
  </si>
  <si>
    <t>Grafik</t>
  </si>
  <si>
    <t>x-Werte von:</t>
  </si>
  <si>
    <t>x-Werte bis:</t>
  </si>
  <si>
    <t xml:space="preserve">                                                                W a l t e r   F R I C K E,   M o n h e i m   (W F)</t>
  </si>
  <si>
    <t>ja</t>
  </si>
  <si>
    <t>nein</t>
  </si>
  <si>
    <t>HF</t>
  </si>
  <si>
    <t>y=kx+d</t>
  </si>
  <si>
    <t>Protokoll</t>
  </si>
  <si>
    <t>raw data</t>
  </si>
  <si>
    <t>Stufe</t>
  </si>
  <si>
    <t>Stufe bei Lak</t>
  </si>
  <si>
    <t>Polynom</t>
  </si>
  <si>
    <t>a</t>
  </si>
  <si>
    <t>b</t>
  </si>
  <si>
    <t>c</t>
  </si>
  <si>
    <t>d</t>
  </si>
  <si>
    <t>Start</t>
  </si>
  <si>
    <t>Inkrement</t>
  </si>
  <si>
    <t>Dauer (min)</t>
  </si>
  <si>
    <t>Herzfrequenz</t>
  </si>
  <si>
    <t>km/h</t>
  </si>
  <si>
    <t>pace</t>
  </si>
  <si>
    <t>Umrechner km/h in pace</t>
  </si>
  <si>
    <t>v bei Lak</t>
  </si>
  <si>
    <t>Stufendauer</t>
  </si>
  <si>
    <t>Z1</t>
  </si>
  <si>
    <t>Z2</t>
  </si>
  <si>
    <t>Z3</t>
  </si>
  <si>
    <t>Z4</t>
  </si>
  <si>
    <t>Z5</t>
  </si>
  <si>
    <t>Z6</t>
  </si>
  <si>
    <t>Wunschwert</t>
  </si>
  <si>
    <t>Leistungsdiagnostik</t>
  </si>
  <si>
    <t>anna-maria@woerndle.at  |  +43 677 62150496</t>
  </si>
  <si>
    <t>Stufenlänge</t>
  </si>
  <si>
    <t>1200-1600</t>
  </si>
  <si>
    <t>v</t>
  </si>
  <si>
    <t>min/km</t>
  </si>
  <si>
    <t>v (km/h)</t>
  </si>
  <si>
    <t>pace (min/km)</t>
  </si>
  <si>
    <r>
      <t>v</t>
    </r>
    <r>
      <rPr>
        <vertAlign val="subscript"/>
        <sz val="11"/>
        <color theme="1"/>
        <rFont val="Arial"/>
        <family val="2"/>
      </rPr>
      <t xml:space="preserve">max </t>
    </r>
    <r>
      <rPr>
        <sz val="11"/>
        <color theme="1"/>
        <rFont val="Arial"/>
        <family val="2"/>
      </rPr>
      <t>(km/h)</t>
    </r>
  </si>
  <si>
    <t>Laufen</t>
  </si>
  <si>
    <t>Maurach, 23.05.2024</t>
  </si>
  <si>
    <t>23.05.2024 / 14:00</t>
  </si>
  <si>
    <t>Anna-Maria Wörndle</t>
  </si>
  <si>
    <t>Ort</t>
  </si>
  <si>
    <t>Laufcamp Achensee</t>
  </si>
  <si>
    <t>Geburtsjahr</t>
  </si>
  <si>
    <t>HF % Rechner</t>
  </si>
  <si>
    <t>%</t>
  </si>
  <si>
    <t>&lt; 7,0</t>
  </si>
  <si>
    <t>&gt; 08:30</t>
  </si>
  <si>
    <t>08:30 - 06:30</t>
  </si>
  <si>
    <t>7,0 - 9,2</t>
  </si>
  <si>
    <t>06:30 - 05:50</t>
  </si>
  <si>
    <t>160 - 170</t>
  </si>
  <si>
    <t>9,2 - 10,2</t>
  </si>
  <si>
    <t>&gt; 12,0</t>
  </si>
  <si>
    <t>&lt; 05:00</t>
  </si>
  <si>
    <t>10,2 - 12,0</t>
  </si>
  <si>
    <t>05:50 - 05:00</t>
  </si>
  <si>
    <t>RPE (6-20)</t>
  </si>
  <si>
    <t>Rainier Matzinger</t>
  </si>
  <si>
    <t>Rainier</t>
  </si>
  <si>
    <t>Matzinger</t>
  </si>
  <si>
    <t>&lt; 130</t>
  </si>
  <si>
    <t>130 - 150</t>
  </si>
  <si>
    <t>150 - 160</t>
  </si>
  <si>
    <t>&gt; 170</t>
  </si>
  <si>
    <t>6 - 9</t>
  </si>
  <si>
    <t>10 - 11</t>
  </si>
  <si>
    <t>12 - 14</t>
  </si>
  <si>
    <t>15 - 17</t>
  </si>
  <si>
    <t>18</t>
  </si>
  <si>
    <t>19 - 20</t>
  </si>
  <si>
    <t xml:space="preserve">1% Steigung, Laufband Atoll Achensee; </t>
  </si>
  <si>
    <t>Juni: Z2</t>
  </si>
  <si>
    <t xml:space="preserve">Juli: Z2 + Z5 </t>
  </si>
  <si>
    <t>Beispielwoche: Z2 Z2 Z5 Z2</t>
  </si>
  <si>
    <t>August: Z2 + (Z4) + Z5</t>
  </si>
  <si>
    <t>BW: Z2 Z4 Z2 Z5 (Z4 mind eine Woche vor Achenseelauf)</t>
  </si>
  <si>
    <t xml:space="preserve">Z5: 4x4´(3`P); 5x3´(2`P); </t>
  </si>
  <si>
    <t>Z4: 6x8´(4`P); 2x20` (5´P); 4x10`(4`P)</t>
  </si>
  <si>
    <t>Gel nach 30´ und 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</si>
</sst>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;;;"/>
    <numFmt numFmtId="165" formatCode="#,##0.000000000"/>
    <numFmt numFmtId="166" formatCode="\+_ General;\-\ \ General;0"/>
    <numFmt numFmtId="167" formatCode="General;General;"/>
    <numFmt numFmtId="168" formatCode="\+_ General;\-\ \ General;\ \ \ 0"/>
    <numFmt numFmtId="169" formatCode="0.0"/>
    <numFmt numFmtId="170" formatCode="[$-C07]d\ mmm\ yyyy;\ h:mm"/>
  </numFmts>
  <fonts count="4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b/>
      <sz val="12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MS Sans Serif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3"/>
      <color indexed="8"/>
      <name val="Arial"/>
      <family val="2"/>
    </font>
    <font>
      <b/>
      <sz val="11"/>
      <color indexed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1"/>
      <color indexed="10"/>
      <name val="Arial"/>
      <family val="2"/>
    </font>
    <font>
      <b/>
      <sz val="11"/>
      <color indexed="12"/>
      <name val="Arial"/>
      <family val="2"/>
    </font>
    <font>
      <sz val="8"/>
      <color indexed="81"/>
      <name val="Tahoma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b/>
      <sz val="10"/>
      <color indexed="8"/>
      <name val="Arial"/>
      <family val="2"/>
    </font>
    <font>
      <b/>
      <sz val="13"/>
      <color indexed="10"/>
      <name val="Arial"/>
      <family val="2"/>
    </font>
    <font>
      <sz val="11"/>
      <color indexed="12"/>
      <name val="Arial"/>
      <family val="2"/>
    </font>
    <font>
      <sz val="11"/>
      <color indexed="10"/>
      <name val="Arial"/>
      <family val="2"/>
    </font>
    <font>
      <b/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24"/>
      <color theme="1"/>
      <name val="Calibri"/>
      <family val="2"/>
      <scheme val="minor"/>
    </font>
    <font>
      <u/>
      <sz val="48"/>
      <color theme="1"/>
      <name val="Calibri"/>
      <family val="2"/>
      <scheme val="minor"/>
    </font>
    <font>
      <vertAlign val="subscript"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0" fontId="7" fillId="0" borderId="0"/>
    <xf numFmtId="0" fontId="36" fillId="0" borderId="0" applyNumberFormat="0" applyFill="0" applyBorder="0" applyAlignment="0" applyProtection="0"/>
  </cellStyleXfs>
  <cellXfs count="215">
    <xf numFmtId="0" fontId="0" fillId="0" borderId="0" xfId="0"/>
    <xf numFmtId="164" fontId="3" fillId="2" borderId="0" xfId="1" applyNumberFormat="1" applyFill="1" applyProtection="1">
      <protection locked="0"/>
    </xf>
    <xf numFmtId="0" fontId="4" fillId="0" borderId="0" xfId="1" applyFont="1" applyProtection="1">
      <protection hidden="1"/>
    </xf>
    <xf numFmtId="0" fontId="3" fillId="0" borderId="0" xfId="1" applyProtection="1">
      <protection hidden="1"/>
    </xf>
    <xf numFmtId="0" fontId="6" fillId="0" borderId="0" xfId="1" applyFont="1" applyAlignment="1" applyProtection="1">
      <alignment horizontal="right"/>
      <protection hidden="1"/>
    </xf>
    <xf numFmtId="0" fontId="6" fillId="0" borderId="0" xfId="1" applyFont="1" applyProtection="1">
      <protection hidden="1"/>
    </xf>
    <xf numFmtId="165" fontId="7" fillId="0" borderId="0" xfId="1" applyNumberFormat="1" applyFont="1" applyProtection="1">
      <protection hidden="1"/>
    </xf>
    <xf numFmtId="0" fontId="10" fillId="3" borderId="0" xfId="1" applyFont="1" applyFill="1" applyProtection="1">
      <protection hidden="1"/>
    </xf>
    <xf numFmtId="0" fontId="5" fillId="3" borderId="0" xfId="1" applyFont="1" applyFill="1" applyAlignment="1" applyProtection="1">
      <alignment horizontal="left"/>
      <protection hidden="1"/>
    </xf>
    <xf numFmtId="0" fontId="12" fillId="3" borderId="0" xfId="1" applyFont="1" applyFill="1" applyAlignment="1" applyProtection="1">
      <alignment horizontal="left" vertical="top"/>
      <protection hidden="1"/>
    </xf>
    <xf numFmtId="0" fontId="13" fillId="3" borderId="0" xfId="1" applyFont="1" applyFill="1" applyAlignment="1" applyProtection="1">
      <alignment horizontal="left"/>
      <protection hidden="1"/>
    </xf>
    <xf numFmtId="0" fontId="14" fillId="0" borderId="0" xfId="1" applyFont="1" applyProtection="1">
      <protection hidden="1"/>
    </xf>
    <xf numFmtId="0" fontId="15" fillId="3" borderId="0" xfId="1" applyFont="1" applyFill="1" applyAlignment="1" applyProtection="1">
      <alignment horizontal="left"/>
      <protection hidden="1"/>
    </xf>
    <xf numFmtId="0" fontId="18" fillId="0" borderId="0" xfId="1" applyFont="1" applyAlignment="1" applyProtection="1">
      <alignment horizontal="center"/>
      <protection hidden="1"/>
    </xf>
    <xf numFmtId="0" fontId="6" fillId="2" borderId="0" xfId="3" applyFont="1" applyFill="1" applyAlignment="1" applyProtection="1">
      <alignment horizontal="right"/>
      <protection locked="0"/>
    </xf>
    <xf numFmtId="0" fontId="19" fillId="0" borderId="0" xfId="1" applyFont="1" applyProtection="1">
      <protection hidden="1"/>
    </xf>
    <xf numFmtId="0" fontId="3" fillId="0" borderId="0" xfId="1" applyAlignment="1" applyProtection="1">
      <alignment horizontal="left"/>
      <protection hidden="1"/>
    </xf>
    <xf numFmtId="0" fontId="3" fillId="0" borderId="0" xfId="1" quotePrefix="1" applyAlignment="1" applyProtection="1">
      <alignment horizontal="left"/>
      <protection hidden="1"/>
    </xf>
    <xf numFmtId="0" fontId="3" fillId="0" borderId="0" xfId="1" applyAlignment="1" applyProtection="1">
      <alignment horizontal="right"/>
      <protection hidden="1"/>
    </xf>
    <xf numFmtId="167" fontId="3" fillId="0" borderId="0" xfId="1" applyNumberFormat="1" applyProtection="1">
      <protection hidden="1"/>
    </xf>
    <xf numFmtId="0" fontId="21" fillId="0" borderId="0" xfId="0" applyFont="1"/>
    <xf numFmtId="0" fontId="21" fillId="0" borderId="8" xfId="0" applyFont="1" applyBorder="1" applyAlignment="1">
      <alignment horizontal="center"/>
    </xf>
    <xf numFmtId="0" fontId="21" fillId="0" borderId="5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1" fontId="21" fillId="0" borderId="5" xfId="0" applyNumberFormat="1" applyFont="1" applyBorder="1"/>
    <xf numFmtId="0" fontId="21" fillId="8" borderId="9" xfId="0" applyFont="1" applyFill="1" applyBorder="1"/>
    <xf numFmtId="0" fontId="21" fillId="9" borderId="5" xfId="0" applyFont="1" applyFill="1" applyBorder="1"/>
    <xf numFmtId="0" fontId="4" fillId="0" borderId="0" xfId="1" applyFont="1" applyAlignment="1">
      <alignment vertical="center"/>
    </xf>
    <xf numFmtId="166" fontId="10" fillId="3" borderId="0" xfId="1" applyNumberFormat="1" applyFont="1" applyFill="1" applyAlignment="1" applyProtection="1">
      <alignment horizontal="left" vertical="center"/>
      <protection hidden="1"/>
    </xf>
    <xf numFmtId="0" fontId="24" fillId="0" borderId="0" xfId="1" applyFont="1" applyProtection="1">
      <protection hidden="1"/>
    </xf>
    <xf numFmtId="0" fontId="24" fillId="0" borderId="0" xfId="1" applyFont="1" applyAlignment="1" applyProtection="1">
      <alignment horizontal="right"/>
      <protection hidden="1"/>
    </xf>
    <xf numFmtId="0" fontId="25" fillId="0" borderId="0" xfId="1" applyFont="1" applyProtection="1">
      <protection hidden="1"/>
    </xf>
    <xf numFmtId="0" fontId="6" fillId="3" borderId="0" xfId="1" applyFont="1" applyFill="1" applyProtection="1">
      <protection hidden="1"/>
    </xf>
    <xf numFmtId="166" fontId="24" fillId="0" borderId="0" xfId="1" applyNumberFormat="1" applyFont="1" applyProtection="1">
      <protection hidden="1"/>
    </xf>
    <xf numFmtId="0" fontId="9" fillId="0" borderId="0" xfId="2" applyFont="1" applyProtection="1">
      <protection hidden="1"/>
    </xf>
    <xf numFmtId="0" fontId="26" fillId="3" borderId="0" xfId="1" applyFont="1" applyFill="1" applyProtection="1">
      <protection hidden="1"/>
    </xf>
    <xf numFmtId="0" fontId="26" fillId="3" borderId="0" xfId="1" applyFont="1" applyFill="1" applyAlignment="1" applyProtection="1">
      <alignment vertical="top"/>
      <protection hidden="1"/>
    </xf>
    <xf numFmtId="0" fontId="25" fillId="0" borderId="0" xfId="1" applyFont="1" applyAlignment="1" applyProtection="1">
      <alignment horizontal="center"/>
      <protection hidden="1"/>
    </xf>
    <xf numFmtId="166" fontId="27" fillId="3" borderId="0" xfId="1" applyNumberFormat="1" applyFont="1" applyFill="1" applyAlignment="1" applyProtection="1">
      <alignment horizontal="left"/>
      <protection hidden="1"/>
    </xf>
    <xf numFmtId="0" fontId="18" fillId="0" borderId="0" xfId="1" applyFont="1" applyAlignment="1" applyProtection="1">
      <alignment horizontal="right"/>
      <protection hidden="1"/>
    </xf>
    <xf numFmtId="0" fontId="28" fillId="0" borderId="0" xfId="1" applyFont="1" applyAlignment="1" applyProtection="1">
      <alignment horizontal="center"/>
      <protection hidden="1"/>
    </xf>
    <xf numFmtId="0" fontId="29" fillId="0" borderId="0" xfId="1" applyFont="1" applyProtection="1">
      <protection hidden="1"/>
    </xf>
    <xf numFmtId="0" fontId="3" fillId="0" borderId="0" xfId="1" applyAlignment="1" applyProtection="1">
      <alignment horizontal="centerContinuous"/>
      <protection hidden="1"/>
    </xf>
    <xf numFmtId="0" fontId="28" fillId="0" borderId="0" xfId="1" applyFont="1" applyProtection="1">
      <protection hidden="1"/>
    </xf>
    <xf numFmtId="168" fontId="17" fillId="3" borderId="0" xfId="1" applyNumberFormat="1" applyFont="1" applyFill="1" applyAlignment="1" applyProtection="1">
      <alignment horizontal="left"/>
      <protection hidden="1"/>
    </xf>
    <xf numFmtId="168" fontId="6" fillId="3" borderId="0" xfId="1" applyNumberFormat="1" applyFont="1" applyFill="1" applyAlignment="1" applyProtection="1">
      <alignment horizontal="left"/>
      <protection hidden="1"/>
    </xf>
    <xf numFmtId="0" fontId="28" fillId="0" borderId="0" xfId="1" applyFont="1" applyAlignment="1" applyProtection="1">
      <alignment horizontal="right"/>
      <protection hidden="1"/>
    </xf>
    <xf numFmtId="0" fontId="30" fillId="0" borderId="0" xfId="1" applyFont="1" applyProtection="1">
      <protection hidden="1"/>
    </xf>
    <xf numFmtId="0" fontId="18" fillId="0" borderId="0" xfId="1" applyFont="1" applyAlignment="1" applyProtection="1">
      <alignment horizontal="left"/>
      <protection hidden="1"/>
    </xf>
    <xf numFmtId="169" fontId="3" fillId="0" borderId="0" xfId="1" applyNumberFormat="1" applyProtection="1">
      <protection hidden="1"/>
    </xf>
    <xf numFmtId="0" fontId="0" fillId="4" borderId="5" xfId="0" applyFill="1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" fontId="0" fillId="4" borderId="5" xfId="0" applyNumberFormat="1" applyFill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0" fillId="4" borderId="26" xfId="0" applyFill="1" applyBorder="1"/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" fillId="9" borderId="5" xfId="0" applyFont="1" applyFill="1" applyBorder="1" applyAlignment="1">
      <alignment horizontal="center"/>
    </xf>
    <xf numFmtId="0" fontId="31" fillId="0" borderId="5" xfId="0" applyFont="1" applyBorder="1"/>
    <xf numFmtId="0" fontId="31" fillId="0" borderId="19" xfId="0" applyFont="1" applyBorder="1"/>
    <xf numFmtId="0" fontId="1" fillId="9" borderId="5" xfId="0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45" fontId="0" fillId="4" borderId="5" xfId="0" applyNumberFormat="1" applyFill="1" applyBorder="1"/>
    <xf numFmtId="169" fontId="31" fillId="0" borderId="5" xfId="0" applyNumberFormat="1" applyFont="1" applyBorder="1" applyAlignment="1">
      <alignment horizontal="center"/>
    </xf>
    <xf numFmtId="169" fontId="21" fillId="0" borderId="5" xfId="0" applyNumberFormat="1" applyFont="1" applyBorder="1"/>
    <xf numFmtId="0" fontId="2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1" fillId="6" borderId="0" xfId="0" applyFont="1" applyFill="1" applyAlignment="1">
      <alignment horizontal="left"/>
    </xf>
    <xf numFmtId="0" fontId="1" fillId="6" borderId="0" xfId="0" applyFont="1" applyFill="1"/>
    <xf numFmtId="0" fontId="1" fillId="0" borderId="0" xfId="0" applyFont="1"/>
    <xf numFmtId="0" fontId="1" fillId="7" borderId="19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1" fontId="1" fillId="8" borderId="5" xfId="0" applyNumberFormat="1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35" fillId="0" borderId="0" xfId="4" applyFont="1" applyBorder="1" applyAlignment="1">
      <alignment horizontal="center" vertical="center"/>
    </xf>
    <xf numFmtId="0" fontId="21" fillId="9" borderId="31" xfId="0" applyFont="1" applyFill="1" applyBorder="1"/>
    <xf numFmtId="0" fontId="23" fillId="9" borderId="5" xfId="0" applyFont="1" applyFill="1" applyBorder="1" applyAlignment="1">
      <alignment horizontal="left"/>
    </xf>
    <xf numFmtId="0" fontId="1" fillId="9" borderId="5" xfId="0" applyFont="1" applyFill="1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45" fontId="1" fillId="0" borderId="5" xfId="0" applyNumberFormat="1" applyFont="1" applyBorder="1"/>
    <xf numFmtId="0" fontId="0" fillId="0" borderId="0" xfId="0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38" fillId="0" borderId="28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3" fillId="9" borderId="5" xfId="0" applyFont="1" applyFill="1" applyBorder="1" applyAlignment="1">
      <alignment horizontal="center"/>
    </xf>
    <xf numFmtId="0" fontId="23" fillId="9" borderId="5" xfId="0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21" fillId="9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1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0" fontId="1" fillId="8" borderId="5" xfId="0" applyNumberFormat="1" applyFont="1" applyFill="1" applyBorder="1" applyAlignment="1">
      <alignment horizontal="center"/>
    </xf>
    <xf numFmtId="2" fontId="0" fillId="4" borderId="5" xfId="0" applyNumberFormat="1" applyFill="1" applyBorder="1"/>
    <xf numFmtId="0" fontId="21" fillId="0" borderId="5" xfId="0" applyFont="1" applyBorder="1" applyAlignment="1">
      <alignment horizontal="center"/>
    </xf>
    <xf numFmtId="169" fontId="39" fillId="0" borderId="5" xfId="0" applyNumberFormat="1" applyFont="1" applyBorder="1"/>
    <xf numFmtId="1" fontId="39" fillId="0" borderId="5" xfId="0" applyNumberFormat="1" applyFont="1" applyBorder="1"/>
    <xf numFmtId="20" fontId="1" fillId="12" borderId="19" xfId="0" applyNumberFormat="1" applyFont="1" applyFill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1" fillId="0" borderId="40" xfId="0" applyFont="1" applyBorder="1" applyAlignment="1">
      <alignment horizontal="center"/>
    </xf>
    <xf numFmtId="0" fontId="31" fillId="0" borderId="19" xfId="0" applyFont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49" fontId="1" fillId="11" borderId="19" xfId="0" applyNumberFormat="1" applyFont="1" applyFill="1" applyBorder="1" applyAlignment="1">
      <alignment horizontal="center"/>
    </xf>
    <xf numFmtId="49" fontId="1" fillId="8" borderId="19" xfId="0" applyNumberFormat="1" applyFont="1" applyFill="1" applyBorder="1" applyAlignment="1">
      <alignment horizontal="center"/>
    </xf>
    <xf numFmtId="49" fontId="1" fillId="5" borderId="19" xfId="0" applyNumberFormat="1" applyFont="1" applyFill="1" applyBorder="1" applyAlignment="1">
      <alignment horizontal="center"/>
    </xf>
    <xf numFmtId="49" fontId="1" fillId="12" borderId="19" xfId="0" applyNumberFormat="1" applyFont="1" applyFill="1" applyBorder="1" applyAlignment="1">
      <alignment horizontal="center"/>
    </xf>
    <xf numFmtId="49" fontId="1" fillId="7" borderId="19" xfId="0" applyNumberFormat="1" applyFont="1" applyFill="1" applyBorder="1" applyAlignment="1">
      <alignment horizontal="center"/>
    </xf>
    <xf numFmtId="49" fontId="1" fillId="6" borderId="19" xfId="0" applyNumberFormat="1" applyFont="1" applyFill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5" fillId="0" borderId="0" xfId="4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170" fontId="1" fillId="0" borderId="2" xfId="0" applyNumberFormat="1" applyFont="1" applyBorder="1" applyAlignment="1">
      <alignment horizontal="left"/>
    </xf>
    <xf numFmtId="170" fontId="21" fillId="0" borderId="3" xfId="0" applyNumberFormat="1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11" borderId="19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31" fillId="0" borderId="19" xfId="0" applyFont="1" applyBorder="1" applyAlignment="1">
      <alignment horizontal="left"/>
    </xf>
    <xf numFmtId="0" fontId="31" fillId="0" borderId="26" xfId="0" applyFont="1" applyBorder="1" applyAlignment="1">
      <alignment horizontal="left"/>
    </xf>
    <xf numFmtId="0" fontId="32" fillId="0" borderId="29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5">
    <cellStyle name="Link" xfId="4" builtinId="8"/>
    <cellStyle name="Standard" xfId="0" builtinId="0"/>
    <cellStyle name="Standard 2" xfId="1" xr:uid="{00000000-0005-0000-0000-000001000000}"/>
    <cellStyle name="Standard_Kombin." xfId="3" xr:uid="{00000000-0005-0000-0000-000002000000}"/>
    <cellStyle name="Standard_Sammelauswertung" xfId="2" xr:uid="{00000000-0005-0000-0000-000003000000}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Lauf_7_1_4; 23.05.2024</a:t>
            </a:r>
          </a:p>
        </c:rich>
      </c:tx>
      <c:layout>
        <c:manualLayout>
          <c:xMode val="edge"/>
          <c:yMode val="edge"/>
          <c:x val="0.36638705047232178"/>
          <c:y val="5.632371397395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3507481509222206E-2"/>
          <c:y val="0.10012494446649471"/>
          <c:w val="0.8517674782912189"/>
          <c:h val="0.79647026202144311"/>
        </c:manualLayout>
      </c:layout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Auswertung!$A$6:$A$13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xVal>
          <c:yVal>
            <c:numRef>
              <c:f>Auswertung!$C$6:$C$13</c:f>
              <c:numCache>
                <c:formatCode>General</c:formatCode>
                <c:ptCount val="8"/>
                <c:pt idx="0">
                  <c:v>1.9</c:v>
                </c:pt>
                <c:pt idx="1">
                  <c:v>2.8</c:v>
                </c:pt>
                <c:pt idx="2">
                  <c:v>3</c:v>
                </c:pt>
                <c:pt idx="3">
                  <c:v>3.8</c:v>
                </c:pt>
                <c:pt idx="4">
                  <c:v>5.2</c:v>
                </c:pt>
                <c:pt idx="5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E-4F38-B92F-A9E3B8EEE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12472"/>
        <c:axId val="400466096"/>
      </c:scatterChar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Auswertung!$A$6:$A$13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xVal>
          <c:yVal>
            <c:numRef>
              <c:f>Auswertung!$B$6:$B$13</c:f>
              <c:numCache>
                <c:formatCode>General</c:formatCode>
                <c:ptCount val="8"/>
                <c:pt idx="0">
                  <c:v>133</c:v>
                </c:pt>
                <c:pt idx="1">
                  <c:v>141</c:v>
                </c:pt>
                <c:pt idx="2">
                  <c:v>150</c:v>
                </c:pt>
                <c:pt idx="3">
                  <c:v>159</c:v>
                </c:pt>
                <c:pt idx="4">
                  <c:v>167</c:v>
                </c:pt>
                <c:pt idx="5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FE-4F38-B92F-A9E3B8EEE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779528"/>
        <c:axId val="400781168"/>
      </c:scatterChart>
      <c:valAx>
        <c:axId val="503112472"/>
        <c:scaling>
          <c:orientation val="minMax"/>
          <c:max val="12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Geschwindigkeit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0466096"/>
        <c:crosses val="autoZero"/>
        <c:crossBetween val="midCat"/>
        <c:majorUnit val="1"/>
      </c:valAx>
      <c:valAx>
        <c:axId val="400466096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Laktat (mmol/l)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112472"/>
        <c:crosses val="autoZero"/>
        <c:crossBetween val="midCat"/>
      </c:valAx>
      <c:valAx>
        <c:axId val="400781168"/>
        <c:scaling>
          <c:orientation val="minMax"/>
          <c:min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Herzfrequenz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0779528"/>
        <c:crosses val="max"/>
        <c:crossBetween val="midCat"/>
      </c:valAx>
      <c:valAx>
        <c:axId val="400779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78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600" b="1"/>
              <a:t>Protokoll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568143357066779"/>
                  <c:y val="-4.02942029941995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b!$A$3:$A$8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b!$B$3:$B$8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0-492E-B77A-0E0BAEAB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337936"/>
        <c:axId val="416333672"/>
      </c:scatterChart>
      <c:valAx>
        <c:axId val="41633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6333672"/>
        <c:crosses val="autoZero"/>
        <c:crossBetween val="midCat"/>
      </c:valAx>
      <c:valAx>
        <c:axId val="4163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633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600" b="1"/>
              <a:t>Laktat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9155139982502187"/>
                  <c:y val="0.15699074074074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b!$A$3:$A$8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b!$C$3:$C$8</c:f>
              <c:numCache>
                <c:formatCode>General</c:formatCode>
                <c:ptCount val="6"/>
                <c:pt idx="0">
                  <c:v>1.9</c:v>
                </c:pt>
                <c:pt idx="1">
                  <c:v>2.8</c:v>
                </c:pt>
                <c:pt idx="2">
                  <c:v>3</c:v>
                </c:pt>
                <c:pt idx="3">
                  <c:v>3.8</c:v>
                </c:pt>
                <c:pt idx="4">
                  <c:v>5.2</c:v>
                </c:pt>
                <c:pt idx="5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1-42D2-85FD-C2B31519A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327336"/>
        <c:axId val="271330616"/>
      </c:scatterChart>
      <c:valAx>
        <c:axId val="27132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1330616"/>
        <c:crosses val="autoZero"/>
        <c:crossBetween val="midCat"/>
      </c:valAx>
      <c:valAx>
        <c:axId val="27133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1327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AT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AT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Herzfrequenz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AT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6340683803618918"/>
                  <c:y val="-0.27674614704251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b!$B$3:$B$8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xVal>
          <c:yVal>
            <c:numRef>
              <c:f>b!$D$3:$D$8</c:f>
              <c:numCache>
                <c:formatCode>General</c:formatCode>
                <c:ptCount val="6"/>
                <c:pt idx="0">
                  <c:v>133</c:v>
                </c:pt>
                <c:pt idx="1">
                  <c:v>141</c:v>
                </c:pt>
                <c:pt idx="2">
                  <c:v>150</c:v>
                </c:pt>
                <c:pt idx="3">
                  <c:v>159</c:v>
                </c:pt>
                <c:pt idx="4">
                  <c:v>167</c:v>
                </c:pt>
                <c:pt idx="5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B-4097-92B9-2AF205CDE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590832"/>
        <c:axId val="467588864"/>
      </c:scatterChart>
      <c:valAx>
        <c:axId val="4675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7588864"/>
        <c:crosses val="autoZero"/>
        <c:crossBetween val="midCat"/>
      </c:valAx>
      <c:valAx>
        <c:axId val="467588864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759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84745161854401E-2"/>
          <c:y val="6.1144146159241276E-2"/>
          <c:w val="0.87671316650215436"/>
          <c:h val="0.8343217363019049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'kubische Gleichung'!$G$19:$G$48</c:f>
              <c:numCache>
                <c:formatCode>0.0</c:formatCode>
                <c:ptCount val="30"/>
                <c:pt idx="0">
                  <c:v>-2</c:v>
                </c:pt>
                <c:pt idx="1">
                  <c:v>-1.6551724137931034</c:v>
                </c:pt>
                <c:pt idx="2">
                  <c:v>-1.3103448275862069</c:v>
                </c:pt>
                <c:pt idx="3">
                  <c:v>-0.96551724137931028</c:v>
                </c:pt>
                <c:pt idx="4">
                  <c:v>-0.6206896551724137</c:v>
                </c:pt>
                <c:pt idx="5">
                  <c:v>-0.27586206896551713</c:v>
                </c:pt>
                <c:pt idx="6">
                  <c:v>6.8965517241379448E-2</c:v>
                </c:pt>
                <c:pt idx="7">
                  <c:v>0.41379310344827602</c:v>
                </c:pt>
                <c:pt idx="8">
                  <c:v>0.7586206896551726</c:v>
                </c:pt>
                <c:pt idx="9">
                  <c:v>1.1034482758620692</c:v>
                </c:pt>
                <c:pt idx="10">
                  <c:v>1.4482758620689657</c:v>
                </c:pt>
                <c:pt idx="11">
                  <c:v>1.7931034482758623</c:v>
                </c:pt>
                <c:pt idx="12">
                  <c:v>2.1379310344827589</c:v>
                </c:pt>
                <c:pt idx="13">
                  <c:v>2.4827586206896557</c:v>
                </c:pt>
                <c:pt idx="14">
                  <c:v>2.8275862068965525</c:v>
                </c:pt>
                <c:pt idx="15">
                  <c:v>3.1724137931034493</c:v>
                </c:pt>
                <c:pt idx="16">
                  <c:v>3.5172413793103461</c:v>
                </c:pt>
                <c:pt idx="17">
                  <c:v>3.8620689655172429</c:v>
                </c:pt>
                <c:pt idx="18">
                  <c:v>4.2068965517241397</c:v>
                </c:pt>
                <c:pt idx="19">
                  <c:v>4.5517241379310365</c:v>
                </c:pt>
                <c:pt idx="20">
                  <c:v>4.8965517241379333</c:v>
                </c:pt>
                <c:pt idx="21">
                  <c:v>5.2413793103448301</c:v>
                </c:pt>
                <c:pt idx="22">
                  <c:v>5.5862068965517269</c:v>
                </c:pt>
                <c:pt idx="23">
                  <c:v>5.9310344827586237</c:v>
                </c:pt>
                <c:pt idx="24">
                  <c:v>6.2758620689655205</c:v>
                </c:pt>
                <c:pt idx="25">
                  <c:v>6.6206896551724173</c:v>
                </c:pt>
                <c:pt idx="26">
                  <c:v>6.9655172413793141</c:v>
                </c:pt>
                <c:pt idx="27">
                  <c:v>7.3103448275862108</c:v>
                </c:pt>
                <c:pt idx="28">
                  <c:v>7.6551724137931076</c:v>
                </c:pt>
                <c:pt idx="29">
                  <c:v>8.0000000000000036</c:v>
                </c:pt>
              </c:numCache>
            </c:numRef>
          </c:xVal>
          <c:yVal>
            <c:numRef>
              <c:f>'kubische Gleichung'!$H$19:$H$48</c:f>
              <c:numCache>
                <c:formatCode>General;General;</c:formatCode>
                <c:ptCount val="30"/>
                <c:pt idx="0">
                  <c:v>-15.969100000000001</c:v>
                </c:pt>
                <c:pt idx="1">
                  <c:v>-13.94170391979991</c:v>
                </c:pt>
                <c:pt idx="2">
                  <c:v>-12.196259539136495</c:v>
                </c:pt>
                <c:pt idx="3">
                  <c:v>-10.709986096190907</c:v>
                </c:pt>
                <c:pt idx="4">
                  <c:v>-9.4601028291442866</c:v>
                </c:pt>
                <c:pt idx="5">
                  <c:v>-8.4238289761777843</c:v>
                </c:pt>
                <c:pt idx="6">
                  <c:v>-7.5783837754725489</c:v>
                </c:pt>
                <c:pt idx="7">
                  <c:v>-6.9009864652097255</c:v>
                </c:pt>
                <c:pt idx="8">
                  <c:v>-6.3688562835704623</c:v>
                </c:pt>
                <c:pt idx="9">
                  <c:v>-5.9592124687359052</c:v>
                </c:pt>
                <c:pt idx="10">
                  <c:v>-5.6492742588872025</c:v>
                </c:pt>
                <c:pt idx="11">
                  <c:v>-5.4162608922055018</c:v>
                </c:pt>
                <c:pt idx="12">
                  <c:v>-5.2373916068719497</c:v>
                </c:pt>
                <c:pt idx="13">
                  <c:v>-5.0898856410676938</c:v>
                </c:pt>
                <c:pt idx="14">
                  <c:v>-4.9509622329738807</c:v>
                </c:pt>
                <c:pt idx="15">
                  <c:v>-4.7978406207716588</c:v>
                </c:pt>
                <c:pt idx="16">
                  <c:v>-4.6077400426421722</c:v>
                </c:pt>
                <c:pt idx="17">
                  <c:v>-4.3578797367665736</c:v>
                </c:pt>
                <c:pt idx="18">
                  <c:v>-4.0254789413260061</c:v>
                </c:pt>
                <c:pt idx="19">
                  <c:v>-3.5877568945016165</c:v>
                </c:pt>
                <c:pt idx="20">
                  <c:v>-3.0219328344745531</c:v>
                </c:pt>
                <c:pt idx="21">
                  <c:v>-2.3052259994259625</c:v>
                </c:pt>
                <c:pt idx="22">
                  <c:v>-1.4148556275369959</c:v>
                </c:pt>
                <c:pt idx="23">
                  <c:v>-0.32804095698879721</c:v>
                </c:pt>
                <c:pt idx="24">
                  <c:v>0.97799877403749136</c:v>
                </c:pt>
                <c:pt idx="25">
                  <c:v>2.5260443273607098</c:v>
                </c:pt>
                <c:pt idx="26">
                  <c:v>4.3388764647997249</c:v>
                </c:pt>
                <c:pt idx="27">
                  <c:v>6.4392759481733783</c:v>
                </c:pt>
                <c:pt idx="28">
                  <c:v>8.8500235393005333</c:v>
                </c:pt>
                <c:pt idx="29">
                  <c:v>11.59390000000003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E4-4B12-A50A-C3D9679D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067224"/>
        <c:axId val="1"/>
      </c:scatterChart>
      <c:valAx>
        <c:axId val="2830672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X</a:t>
                </a:r>
              </a:p>
            </c:rich>
          </c:tx>
          <c:layout>
            <c:manualLayout>
              <c:xMode val="edge"/>
              <c:yMode val="edge"/>
              <c:x val="0.74364063230093447"/>
              <c:y val="0.921106976011795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  <c:max val="10"/>
          <c:min val="-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Y</a:t>
                </a:r>
              </a:p>
            </c:rich>
          </c:tx>
          <c:layout>
            <c:manualLayout>
              <c:xMode val="edge"/>
              <c:yMode val="edge"/>
              <c:x val="4.6966776776901122E-2"/>
              <c:y val="0.2149907074631386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83067224"/>
        <c:crosses val="autoZero"/>
        <c:crossBetween val="midCat"/>
        <c:majorUnit val="1"/>
        <c:minorUnit val="1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293077</xdr:colOff>
      <xdr:row>19</xdr:row>
      <xdr:rowOff>39077</xdr:rowOff>
    </xdr:from>
    <xdr:to>
      <xdr:col>7</xdr:col>
      <xdr:colOff>566617</xdr:colOff>
      <xdr:row>29</xdr:row>
      <xdr:rowOff>146538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7919ECE-68D4-D79A-19CE-F27BA83DC1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230" t="36642" r="26590" b="36880"/>
        <a:stretch/>
      </xdr:blipFill>
      <xdr:spPr>
        <a:xfrm>
          <a:off x="2784231" y="3761154"/>
          <a:ext cx="3595078" cy="2061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108722</xdr:colOff>
      <xdr:row>40</xdr:row>
      <xdr:rowOff>22225</xdr:rowOff>
    </xdr:from>
    <xdr:to>
      <xdr:col>8</xdr:col>
      <xdr:colOff>863600</xdr:colOff>
      <xdr:row>69</xdr:row>
      <xdr:rowOff>144370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33</xdr:row>
      <xdr:rowOff>140191</xdr:rowOff>
    </xdr:from>
    <xdr:to>
      <xdr:col>0</xdr:col>
      <xdr:colOff>863600</xdr:colOff>
      <xdr:row>36</xdr:row>
      <xdr:rowOff>67407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1EA3DA4-A285-1E4D-8539-42E6D3675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230" t="36642" r="26590" b="36880"/>
        <a:stretch/>
      </xdr:blipFill>
      <xdr:spPr>
        <a:xfrm>
          <a:off x="38100" y="6045691"/>
          <a:ext cx="825500" cy="47331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71</xdr:row>
      <xdr:rowOff>38100</xdr:rowOff>
    </xdr:from>
    <xdr:to>
      <xdr:col>0</xdr:col>
      <xdr:colOff>902556</xdr:colOff>
      <xdr:row>73</xdr:row>
      <xdr:rowOff>156307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E04A146-06E1-4F41-90FF-11A12C5E4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230" t="36642" r="26590" b="36880"/>
        <a:stretch/>
      </xdr:blipFill>
      <xdr:spPr>
        <a:xfrm>
          <a:off x="76200" y="12712700"/>
          <a:ext cx="826356" cy="473807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108</xdr:row>
      <xdr:rowOff>38100</xdr:rowOff>
    </xdr:from>
    <xdr:to>
      <xdr:col>0</xdr:col>
      <xdr:colOff>915256</xdr:colOff>
      <xdr:row>110</xdr:row>
      <xdr:rowOff>156307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2B2E1F1-921E-8642-AFF7-0361E30F4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230" t="36642" r="26590" b="36880"/>
        <a:stretch/>
      </xdr:blipFill>
      <xdr:spPr>
        <a:xfrm>
          <a:off x="88900" y="19291300"/>
          <a:ext cx="826356" cy="4738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61998</xdr:colOff>
      <xdr:row>14</xdr:row>
      <xdr:rowOff>16628</xdr:rowOff>
    </xdr:from>
    <xdr:to>
      <xdr:col>6</xdr:col>
      <xdr:colOff>55072</xdr:colOff>
      <xdr:row>21</xdr:row>
      <xdr:rowOff>66504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13854</xdr:colOff>
      <xdr:row>21</xdr:row>
      <xdr:rowOff>63385</xdr:rowOff>
    </xdr:from>
    <xdr:to>
      <xdr:col>8</xdr:col>
      <xdr:colOff>757670</xdr:colOff>
      <xdr:row>34</xdr:row>
      <xdr:rowOff>149976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33251</xdr:colOff>
      <xdr:row>3</xdr:row>
      <xdr:rowOff>16626</xdr:rowOff>
    </xdr:from>
    <xdr:to>
      <xdr:col>10</xdr:col>
      <xdr:colOff>773083</xdr:colOff>
      <xdr:row>9</xdr:row>
      <xdr:rowOff>182880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45720</xdr:rowOff>
    </xdr:from>
    <xdr:to>
      <xdr:col>8</xdr:col>
      <xdr:colOff>762000</xdr:colOff>
      <xdr:row>38</xdr:row>
      <xdr:rowOff>38100</xdr:rowOff>
    </xdr:to>
    <xdr:graphicFrame macro="">
      <xdr:nvGraphicFramePr>
        <xdr:cNvPr id="2" name="Diagramm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MP/Osterform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Rang"/>
      <sheetName val="dlgInfo"/>
      <sheetName val="modTest"/>
    </sheetNames>
    <sheetDataSet>
      <sheetData sheetId="0"/>
      <sheetData sheetId="1">
        <row r="1">
          <cell r="A1">
            <v>1</v>
          </cell>
          <cell r="B1" t="str">
            <v>Norbert Hetterich</v>
          </cell>
          <cell r="C1" t="str">
            <v>junohett@t-online.de</v>
          </cell>
          <cell r="D1" t="str">
            <v>Germany</v>
          </cell>
          <cell r="E1">
            <v>36240.018750000003</v>
          </cell>
          <cell r="F1" t="str">
            <v>=FLOOR(DAY(MINUTE(J/38)/2+56)&amp;"/5/"&amp;J,7)-34</v>
          </cell>
          <cell r="G1">
            <v>43</v>
          </cell>
          <cell r="H1" t="str">
            <v>=DM((TAG(MINUTE(J/38)/2+55)&amp;".4."&amp;J)/7;)*7-6</v>
          </cell>
          <cell r="I1">
            <v>44</v>
          </cell>
          <cell r="J1">
            <v>36254</v>
          </cell>
        </row>
        <row r="2">
          <cell r="A2">
            <v>2</v>
          </cell>
          <cell r="B2" t="str">
            <v>Thomas Jansen</v>
          </cell>
          <cell r="C2" t="str">
            <v>Jansen.Thomas@t-online.de</v>
          </cell>
          <cell r="D2" t="str">
            <v>Germany</v>
          </cell>
          <cell r="E2">
            <v>36245.890277777777</v>
          </cell>
          <cell r="F2" t="str">
            <v>=DOLLAR(("4/"&amp;J)/7+MOD(19*MOD(J,19)-7,30)*14%,)*7-6</v>
          </cell>
          <cell r="G2">
            <v>51</v>
          </cell>
          <cell r="H2" t="str">
            <v>=DM(("4/"&amp;J)/7+REST(19*REST(J;19)-7;30)*14%;)*7-6</v>
          </cell>
          <cell r="I2">
            <v>49</v>
          </cell>
          <cell r="J2">
            <v>36254</v>
          </cell>
        </row>
        <row r="3">
          <cell r="A3">
            <v>3</v>
          </cell>
          <cell r="B3" t="str">
            <v>Roger Friederich</v>
          </cell>
          <cell r="C3" t="str">
            <v>rfr@gmx.net</v>
          </cell>
          <cell r="D3" t="str">
            <v>Germany</v>
          </cell>
          <cell r="E3">
            <v>36202.726388888892</v>
          </cell>
          <cell r="F3" t="str">
            <v>=FLOOR(DATE(J,3,MOD(18.37*MOD(J,19)-6,29)),7)+29</v>
          </cell>
          <cell r="G3">
            <v>48</v>
          </cell>
          <cell r="H3" t="str">
            <v>=DM(DATUM(J;4;REST(18,37*REST(J;19)-5;29))/7;)*7-6</v>
          </cell>
          <cell r="I3">
            <v>50</v>
          </cell>
          <cell r="J3">
            <v>36254</v>
          </cell>
        </row>
        <row r="4">
          <cell r="A4">
            <v>4</v>
          </cell>
          <cell r="B4" t="str">
            <v>Christoph Kremer</v>
          </cell>
          <cell r="C4" t="str">
            <v>Christoph.Kremer@gmx.net</v>
          </cell>
          <cell r="D4" t="str">
            <v>Germany</v>
          </cell>
          <cell r="E4">
            <v>36195.292361111111</v>
          </cell>
          <cell r="F4" t="str">
            <v>=TRUNC(DATE(J,3,MOD(349*MOD(J/19,1)-6,29))/7)*7+29</v>
          </cell>
          <cell r="G4">
            <v>50</v>
          </cell>
          <cell r="H4" t="str">
            <v>=DM(DATUM(J;5;-REST(6-349*REST(J/19;1);29))/7;0)*7-6</v>
          </cell>
          <cell r="I4">
            <v>52</v>
          </cell>
          <cell r="J4">
            <v>36254</v>
          </cell>
        </row>
        <row r="5">
          <cell r="A5">
            <v>5</v>
          </cell>
          <cell r="B5" t="str">
            <v>Dr. Heiner Lichtenberg</v>
          </cell>
          <cell r="C5" t="str">
            <v>Heiner.Lichtenberg@bmf.bund.de</v>
          </cell>
          <cell r="D5" t="str">
            <v>Germany</v>
          </cell>
          <cell r="E5">
            <v>36186.317361111112</v>
          </cell>
          <cell r="F5" t="str">
            <v>=7*TRUNC(DATE(J,3,MOD(18.37*MOD(J,19)-6,29))/7)+29</v>
          </cell>
          <cell r="G5">
            <v>50</v>
          </cell>
          <cell r="H5" t="str">
            <v>=7*KÜRZEN(DATUM(J;3;REST(18,37*REST(J;19)-6;29))/7)+29</v>
          </cell>
          <cell r="I5">
            <v>54</v>
          </cell>
          <cell r="J5">
            <v>36254</v>
          </cell>
        </row>
        <row r="6">
          <cell r="A6">
            <v>6</v>
          </cell>
          <cell r="B6" t="str">
            <v>Klaus Claussen</v>
          </cell>
          <cell r="C6" t="str">
            <v>t.claussen@fh-westkueste.de</v>
          </cell>
          <cell r="D6" t="str">
            <v>Germany</v>
          </cell>
          <cell r="E6">
            <v>36247.838888888888</v>
          </cell>
          <cell r="F6" t="str">
            <v>=29+7*TRUNC(DATE(J,3,MOD(19*MOD(J,19)-6,30)*96%)/7)</v>
          </cell>
          <cell r="G6">
            <v>51</v>
          </cell>
          <cell r="H6" t="str">
            <v>=29+7*KÜRZEN(DATUM(J;3;REST(19*REST(J;19)-6;30)*96%)/7)</v>
          </cell>
          <cell r="I6">
            <v>55</v>
          </cell>
          <cell r="J6">
            <v>36254</v>
          </cell>
        </row>
        <row r="7">
          <cell r="A7">
            <v>7</v>
          </cell>
          <cell r="B7" t="str">
            <v>Gustav Graf</v>
          </cell>
          <cell r="C7" t="str">
            <v>Gustave@gmx.net</v>
          </cell>
          <cell r="D7" t="str">
            <v>Austria</v>
          </cell>
          <cell r="E7">
            <v>36219.932638888888</v>
          </cell>
          <cell r="F7" t="str">
            <v>=TRUNC(DATE(J,4,MOD(19*MOD(J,19)-6,30)*96%-3)/7)*7+1</v>
          </cell>
          <cell r="G7">
            <v>52</v>
          </cell>
          <cell r="H7" t="str">
            <v>=KÜRZEN(DATUM(J;4;REST(19*REST(J;19)-6;30)*96%-3)/7)*7+1</v>
          </cell>
          <cell r="I7">
            <v>56</v>
          </cell>
          <cell r="J7">
            <v>36254</v>
          </cell>
        </row>
        <row r="8">
          <cell r="A8">
            <v>8</v>
          </cell>
          <cell r="B8" t="str">
            <v>Laurent Longre</v>
          </cell>
          <cell r="C8" t="str">
            <v>longre@wanadoo.fr</v>
          </cell>
          <cell r="D8" t="str">
            <v>France</v>
          </cell>
          <cell r="E8">
            <v>36181.878472222219</v>
          </cell>
          <cell r="F8" t="str">
            <v>=INT(FLOOR("3/5/"&amp;J,29.5311)/7-(MOD(J,95)=81))*7-6</v>
          </cell>
          <cell r="G8">
            <v>50</v>
          </cell>
          <cell r="H8" t="str">
            <v>=KÜRZEN(UNTERGRENZE("3/5/"&amp;J;29,5311)/7-(REST(J;95)=81))*7-6</v>
          </cell>
          <cell r="I8">
            <v>60</v>
          </cell>
          <cell r="J8">
            <v>36254</v>
          </cell>
        </row>
        <row r="9">
          <cell r="A9">
            <v>9</v>
          </cell>
          <cell r="B9" t="str">
            <v>Robert Wieland</v>
          </cell>
          <cell r="C9" t="str">
            <v>r.wieland@gmx.de</v>
          </cell>
          <cell r="D9" t="str">
            <v>Germany</v>
          </cell>
          <cell r="E9">
            <v>36185.099305555559</v>
          </cell>
          <cell r="F9" t="str">
            <v>=CEILING(("17.4."&amp;J)-TRUNC(MOD(11*MOD(J,19)+5,30)-1.5),7)+1</v>
          </cell>
          <cell r="G9">
            <v>59</v>
          </cell>
          <cell r="H9" t="str">
            <v>=OBERGRENZE(("17.4."&amp;J)-KÜRZEN(REST(11*REST(J;19)+5;30)-1,5);7)+1</v>
          </cell>
          <cell r="I9">
            <v>65</v>
          </cell>
          <cell r="J9">
            <v>36254</v>
          </cell>
        </row>
        <row r="10">
          <cell r="A10">
            <v>10</v>
          </cell>
          <cell r="B10" t="str">
            <v>Prasad DV</v>
          </cell>
          <cell r="C10" t="str">
            <v>prasadv@md2.vsnl.net.in</v>
          </cell>
          <cell r="D10" t="str">
            <v>India</v>
          </cell>
          <cell r="E10">
            <v>36183.468055555553</v>
          </cell>
          <cell r="F10" t="str">
            <v>=TRUNC(DATE(J,7,-CODE(MID("NYDQ\JT_LWBOZER]KU`",MOD(J,19)+1,1)))/7)*7+8</v>
          </cell>
          <cell r="G10">
            <v>71</v>
          </cell>
          <cell r="H10" t="str">
            <v>=KÜRZEN(DATUM(J;7;-CODE(TEIL("NYDQ\JT_LWBOZER]KU`";REST(J;19)+1;1)))/7)*7+8</v>
          </cell>
          <cell r="I10">
            <v>75</v>
          </cell>
          <cell r="J10">
            <v>36254</v>
          </cell>
        </row>
        <row r="11">
          <cell r="A11">
            <v>11</v>
          </cell>
          <cell r="B11" t="str">
            <v>Birk Baumbach</v>
          </cell>
          <cell r="C11" t="str">
            <v>BBaumbach@dual-zentrum.de</v>
          </cell>
          <cell r="D11" t="str">
            <v>Germany</v>
          </cell>
          <cell r="E11">
            <v>36178.419444444444</v>
          </cell>
          <cell r="F11" t="str">
            <v>=CEILING(DATE(J,4,20)-MOD(6+11*MOD(J,19),30)-(MOD(6+11*MOD(J,19),30)&lt;3),7)+1</v>
          </cell>
          <cell r="G11">
            <v>76</v>
          </cell>
          <cell r="H11" t="str">
            <v>=OBERGRENZE(DATUM(J;4;20)-REST(6+11*REST(J;19);30)-(REST(6+11*REST(J;19);30)&lt;3);7)+1</v>
          </cell>
          <cell r="I11">
            <v>84</v>
          </cell>
          <cell r="J11">
            <v>36254</v>
          </cell>
        </row>
        <row r="12">
          <cell r="A12">
            <v>12</v>
          </cell>
          <cell r="B12" t="str">
            <v>Michael Schwimmer</v>
          </cell>
          <cell r="C12" t="str">
            <v>schwimmer@t-online.de</v>
          </cell>
          <cell r="D12" t="str">
            <v>Germany</v>
          </cell>
          <cell r="E12">
            <v>36178.678472222222</v>
          </cell>
          <cell r="F12" t="str">
            <v>=ROUNDUP((("21.3."&amp;J)+MOD(204-11*MOD(J,19),30))/7-(ABS(ABS(J-2015)-47.5)=13.5),)*7+1</v>
          </cell>
          <cell r="G12">
            <v>84</v>
          </cell>
          <cell r="H12" t="str">
            <v>=AUFRUNDEN((("21.3."&amp;J)+REST(204-11*REST(J;19);30))/7-(ABS(ABS(J-2015)-47,5)=13,5);)*7+1</v>
          </cell>
          <cell r="I12">
            <v>88</v>
          </cell>
          <cell r="J12">
            <v>36254</v>
          </cell>
        </row>
        <row r="13">
          <cell r="A13">
            <v>13</v>
          </cell>
          <cell r="B13" t="str">
            <v>Franz Riesel</v>
          </cell>
          <cell r="C13" t="str">
            <v>f_riesel@styria.com</v>
          </cell>
          <cell r="D13" t="str">
            <v>Austria</v>
          </cell>
          <cell r="E13">
            <v>36198.283333333333</v>
          </cell>
          <cell r="F13" t="str">
            <v>=7*TRUNC((MOD(MOD(J,19)*19-6,30)+365.25*J-693881)/7)-IF(OR(J=1950+{4;31;99;126}),7)-6</v>
          </cell>
          <cell r="G13">
            <v>85</v>
          </cell>
          <cell r="H13" t="str">
            <v>=7*KÜRZEN((REST(REST(J;19)*19-6;30)+365,25*J-693881)/7)-WENN(ODER(J=1950+{4;31;99;126});7)-6</v>
          </cell>
          <cell r="I13">
            <v>92</v>
          </cell>
          <cell r="J13">
            <v>36254</v>
          </cell>
        </row>
        <row r="14">
          <cell r="A14">
            <v>14</v>
          </cell>
          <cell r="B14" t="str">
            <v>Stephen Bullen</v>
          </cell>
          <cell r="C14" t="str">
            <v>Stephen@BMSLtd.co.uk</v>
          </cell>
          <cell r="D14" t="str">
            <v>GB</v>
          </cell>
          <cell r="E14">
            <v>36168.420138888891</v>
          </cell>
          <cell r="F14" t="str">
            <v>=DATE(J,3,28)+MOD(24-MOD(J,19)*10.63,29)-MOD(TRUNC(J*5/4)+MOD(24-MOD(J,19)*10.63,29)+1,7)</v>
          </cell>
          <cell r="G14">
            <v>89</v>
          </cell>
          <cell r="H14" t="str">
            <v>=DATUM(J;3;28)+REST(24-REST(J;19)*10,63;29)-REST(KÜRZEN(J*5/4)+REST(24-REST(J;19)*10,63;29)+1;7)</v>
          </cell>
          <cell r="I14">
            <v>96</v>
          </cell>
          <cell r="J14">
            <v>36254</v>
          </cell>
        </row>
        <row r="15">
          <cell r="A15">
            <v>15</v>
          </cell>
          <cell r="B15" t="str">
            <v>Gerhard Somitsch</v>
          </cell>
          <cell r="C15" t="str">
            <v>gerhard.somitsch@datasystems.at</v>
          </cell>
          <cell r="D15" t="str">
            <v>Austria</v>
          </cell>
          <cell r="E15">
            <v>36168.756249999999</v>
          </cell>
          <cell r="F15" t="str">
            <v>=DATE(J,3,29.56+0.979*MOD(204-11*MOD(J,19),30)-WEEKDAY(DATE(J,3,28.56+0.979*MOD(204-11*MOD(J,19),30))))</v>
          </cell>
          <cell r="G15">
            <v>103</v>
          </cell>
          <cell r="H15" t="str">
            <v>=DATUM(J;3;29,56+0,979*REST(204-11*REST(J;19);30)-WOCHENTAG(DATUM(J;3;28,56+0,979*REST(204-11*REST(J;19);30))))</v>
          </cell>
          <cell r="I15">
            <v>111</v>
          </cell>
          <cell r="J15">
            <v>36254</v>
          </cell>
        </row>
        <row r="16">
          <cell r="A16">
            <v>16</v>
          </cell>
          <cell r="B16" t="str">
            <v>Norbert Heintze</v>
          </cell>
          <cell r="C16" t="str">
            <v>Norbert_Heintze@t-online.de</v>
          </cell>
          <cell r="D16" t="str">
            <v>Germany</v>
          </cell>
          <cell r="E16">
            <v>36254.776388888888</v>
          </cell>
          <cell r="F16" t="str">
            <v>=DATE(J,3,28+MOD(204-11*MOD(J,19),30))-MOD(DATE(J,3,6+MOD(204-11*MOD(J,19),30)),7)-IF(OR(J=1954,J=1981,J=2049,J=2076),7)</v>
          </cell>
          <cell r="G16">
            <v>120</v>
          </cell>
          <cell r="H16" t="str">
            <v>=DATUM(J;3;28+REST(204-11*REST(J;19);30))-REST(DATUM(J;3;6+REST(204-11*REST(J;19);30));7)-WENN(ODER(J=1954;J=1981;J=2049;J=2076);7)</v>
          </cell>
          <cell r="I16">
            <v>131</v>
          </cell>
          <cell r="J16">
            <v>36254</v>
          </cell>
        </row>
        <row r="17">
          <cell r="A17">
            <v>17</v>
          </cell>
          <cell r="B17" t="str">
            <v>Thomas Jacob</v>
          </cell>
          <cell r="C17" t="str">
            <v>tjacob@haso.de</v>
          </cell>
          <cell r="D17" t="str">
            <v>Germany</v>
          </cell>
          <cell r="E17">
            <v>36167.109027777777</v>
          </cell>
          <cell r="F17" t="str">
            <v>=TRUNC(365.25*J-693894)+IF(OR(J=1954,J=1981,J=2049,J=2076),,7)+MOD(24-11*MOD(J,19),30)-MOD(J+TRUNC(J/4)+MOD(24-11*MOD(J,19),30)+1,7)</v>
          </cell>
          <cell r="G17">
            <v>132</v>
          </cell>
          <cell r="H17" t="str">
            <v>=KÜRZEN(365,25*J-693894)+WENN(ODER(J=1954;J=1981;J=2049;J=2076);;7)+REST(24-11*REST(J;19);30)-REST(J+KÜRZEN(J/4)+REST(24-11*REST(J;19);30)+1;7)</v>
          </cell>
          <cell r="I17">
            <v>143</v>
          </cell>
          <cell r="J17">
            <v>36254</v>
          </cell>
        </row>
        <row r="18">
          <cell r="A18">
            <v>18</v>
          </cell>
          <cell r="B18" t="str">
            <v>Daniel Wagner</v>
          </cell>
          <cell r="C18" t="str">
            <v>dwagner@bMAN.ch</v>
          </cell>
          <cell r="D18" t="str">
            <v>Suiss</v>
          </cell>
          <cell r="E18">
            <v>36186.864583333336</v>
          </cell>
          <cell r="F18" t="str">
            <v>=DATE(J,4,MOD(24-11*MOD(J,19),30)-MOD(1+INT(J*5/4)+MOD(24-11*MOD(J,19),30)-(MOD(24-11*MOD(J,19),30)&gt;27),7)-(MOD(24-11*MOD(J,19),30)&gt;27)-3)</v>
          </cell>
          <cell r="G18">
            <v>138</v>
          </cell>
          <cell r="H18" t="str">
            <v>=DATUM(J;4;REST(24-11*REST(J;19);30)-REST(1+GANZZAHL(J*5/4)+REST(24-11*REST(J;19);30)-(REST(24-11*REST(J;19);30)&gt;27);7)-(REST(24-11*REST(J;19);30)&gt;27)-3)</v>
          </cell>
          <cell r="I18">
            <v>153</v>
          </cell>
          <cell r="J18">
            <v>36254</v>
          </cell>
        </row>
        <row r="19">
          <cell r="A19">
            <v>19</v>
          </cell>
          <cell r="B19" t="str">
            <v>Chip Pearson</v>
          </cell>
          <cell r="C19" t="str">
            <v>cpearson@gvi.net</v>
          </cell>
          <cell r="D19" t="str">
            <v>USA</v>
          </cell>
          <cell r="E19">
            <v>36164.000694444447</v>
          </cell>
          <cell r="F19" t="str">
            <v>=DATE(J,3,28)+MOD(24-11*MOD(J,19),30)-(MOD(24-11*MOD(J,19),30)&gt;27)-MOD(INT(5*J/4)+1+MOD(24-11*MOD(J,19),30)-(MOD(24-11*MOD(J,19),30)&gt;27),7)</v>
          </cell>
          <cell r="G19">
            <v>139</v>
          </cell>
          <cell r="H19" t="str">
            <v>=DATUM(J;3;28)+REST(24-11*REST(J;19);30)-(REST(24-11*REST(J;19);30)&gt;27)-REST(GANZZAHL(5*J/4)+1+REST(24-11*REST(J;19);30)-(REST(24-11*REST(J;19);30)&gt;27);7)</v>
          </cell>
          <cell r="I19">
            <v>154</v>
          </cell>
          <cell r="J19">
            <v>36254</v>
          </cell>
        </row>
        <row r="20">
          <cell r="A20">
            <v>20</v>
          </cell>
          <cell r="B20" t="str">
            <v>George Simms</v>
          </cell>
          <cell r="C20" t="str">
            <v>GeorgeSim@email.msn.com</v>
          </cell>
          <cell r="D20" t="str">
            <v>GB</v>
          </cell>
          <cell r="E20">
            <v>36184.532638888886</v>
          </cell>
          <cell r="F20" t="str">
            <v>=DATE(J,3,28)+MOD(24+19*MOD(J,19),30)-(MOD(24+19*MOD(J,19),30)&gt;27)-MOD(INT(J+J/4)+MOD(24+19*MOD(J,19),30)-(MOD(24+19*MOD(J,19),30)&gt;27)+1,7)</v>
          </cell>
          <cell r="G20">
            <v>139</v>
          </cell>
          <cell r="H20" t="str">
            <v>=DATUM(J;3;28)+REST(24+19*REST(J;19);30)-(REST(24+19*REST(J;19);30)&gt;27)-REST(GANZZAHL(J+J/4)+REST(24+19*REST(J;19);30)-(REST(24+19*REST(J;19);30)&gt;27)+1;7)</v>
          </cell>
          <cell r="I20">
            <v>154</v>
          </cell>
          <cell r="J20">
            <v>36254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na-maria@woerndle.at%20%20|%20%20+43%20677%206215049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6291-EF41-1C43-BADA-46B9AEB15C80}">
  <sheetPr>
    <pageSetUpPr fitToPage="1"/>
  </sheetPr>
  <dimension ref="A1:K34"/>
  <sheetViews>
    <sheetView zoomScale="130" zoomScaleNormal="130" workbookViewId="0">
      <selection activeCell="I16" sqref="I16"/>
    </sheetView>
  </sheetViews>
  <sheetFormatPr baseColWidth="10" defaultRowHeight="15"/>
  <sheetData>
    <row r="1" spans="1:11" ht="16" thickTop="1">
      <c r="A1" s="88"/>
      <c r="B1" s="87"/>
      <c r="C1" s="87"/>
      <c r="D1" s="87"/>
      <c r="E1" s="87"/>
      <c r="F1" s="87"/>
      <c r="G1" s="87"/>
      <c r="H1" s="87"/>
      <c r="I1" s="87"/>
      <c r="J1" s="87"/>
      <c r="K1" s="89"/>
    </row>
    <row r="2" spans="1:11">
      <c r="A2" s="90"/>
      <c r="K2" s="91"/>
    </row>
    <row r="3" spans="1:11">
      <c r="A3" s="90"/>
      <c r="K3" s="91"/>
    </row>
    <row r="4" spans="1:11">
      <c r="A4" s="90"/>
      <c r="K4" s="91"/>
    </row>
    <row r="5" spans="1:11">
      <c r="A5" s="90"/>
      <c r="C5" s="136" t="s">
        <v>74</v>
      </c>
      <c r="D5" s="136"/>
      <c r="E5" s="136"/>
      <c r="F5" s="136"/>
      <c r="G5" s="136"/>
      <c r="H5" s="136"/>
      <c r="I5" s="136"/>
      <c r="K5" s="91"/>
    </row>
    <row r="6" spans="1:11">
      <c r="A6" s="90"/>
      <c r="C6" s="136"/>
      <c r="D6" s="136"/>
      <c r="E6" s="136"/>
      <c r="F6" s="136"/>
      <c r="G6" s="136"/>
      <c r="H6" s="136"/>
      <c r="I6" s="136"/>
      <c r="K6" s="91"/>
    </row>
    <row r="7" spans="1:11">
      <c r="A7" s="90"/>
      <c r="C7" s="136"/>
      <c r="D7" s="136"/>
      <c r="E7" s="136"/>
      <c r="F7" s="136"/>
      <c r="G7" s="136"/>
      <c r="H7" s="136"/>
      <c r="I7" s="136"/>
      <c r="K7" s="91"/>
    </row>
    <row r="8" spans="1:11">
      <c r="A8" s="90"/>
      <c r="C8" s="136"/>
      <c r="D8" s="136"/>
      <c r="E8" s="136"/>
      <c r="F8" s="136"/>
      <c r="G8" s="136"/>
      <c r="H8" s="136"/>
      <c r="I8" s="136"/>
      <c r="K8" s="91"/>
    </row>
    <row r="9" spans="1:11">
      <c r="A9" s="90"/>
      <c r="C9" s="136"/>
      <c r="D9" s="136"/>
      <c r="E9" s="136"/>
      <c r="F9" s="136"/>
      <c r="G9" s="136"/>
      <c r="H9" s="136"/>
      <c r="I9" s="136"/>
      <c r="K9" s="91"/>
    </row>
    <row r="10" spans="1:11">
      <c r="A10" s="90"/>
      <c r="C10" s="141" t="s">
        <v>83</v>
      </c>
      <c r="D10" s="141"/>
      <c r="E10" s="141"/>
      <c r="F10" s="141"/>
      <c r="G10" s="141"/>
      <c r="H10" s="141"/>
      <c r="I10" s="141"/>
      <c r="K10" s="91"/>
    </row>
    <row r="11" spans="1:11">
      <c r="A11" s="90"/>
      <c r="C11" s="141"/>
      <c r="D11" s="141"/>
      <c r="E11" s="141"/>
      <c r="F11" s="141"/>
      <c r="G11" s="141"/>
      <c r="H11" s="141"/>
      <c r="I11" s="141"/>
      <c r="K11" s="91"/>
    </row>
    <row r="12" spans="1:11">
      <c r="A12" s="90"/>
      <c r="K12" s="91"/>
    </row>
    <row r="13" spans="1:11">
      <c r="A13" s="90"/>
      <c r="K13" s="91"/>
    </row>
    <row r="14" spans="1:11">
      <c r="A14" s="90"/>
      <c r="K14" s="91"/>
    </row>
    <row r="15" spans="1:11">
      <c r="A15" s="90"/>
      <c r="K15" s="91"/>
    </row>
    <row r="16" spans="1:11">
      <c r="A16" s="90"/>
      <c r="D16" s="137" t="s">
        <v>104</v>
      </c>
      <c r="E16" s="137"/>
      <c r="F16" s="137"/>
      <c r="G16" s="137"/>
      <c r="H16" s="137"/>
      <c r="K16" s="91"/>
    </row>
    <row r="17" spans="1:11">
      <c r="A17" s="90"/>
      <c r="D17" s="137"/>
      <c r="E17" s="137"/>
      <c r="F17" s="137"/>
      <c r="G17" s="137"/>
      <c r="H17" s="137"/>
      <c r="K17" s="91"/>
    </row>
    <row r="18" spans="1:11">
      <c r="A18" s="90"/>
      <c r="D18" s="139" t="s">
        <v>84</v>
      </c>
      <c r="E18" s="140"/>
      <c r="F18" s="140"/>
      <c r="G18" s="140"/>
      <c r="H18" s="140"/>
      <c r="K18" s="91"/>
    </row>
    <row r="19" spans="1:11">
      <c r="A19" s="90"/>
      <c r="K19" s="91"/>
    </row>
    <row r="20" spans="1:11">
      <c r="A20" s="90"/>
      <c r="K20" s="91"/>
    </row>
    <row r="21" spans="1:11">
      <c r="A21" s="90"/>
      <c r="K21" s="91"/>
    </row>
    <row r="22" spans="1:11">
      <c r="A22" s="90"/>
      <c r="K22" s="91"/>
    </row>
    <row r="23" spans="1:11">
      <c r="A23" s="90"/>
      <c r="K23" s="91"/>
    </row>
    <row r="24" spans="1:11">
      <c r="A24" s="90"/>
      <c r="K24" s="91"/>
    </row>
    <row r="25" spans="1:11">
      <c r="A25" s="90"/>
      <c r="K25" s="91"/>
    </row>
    <row r="26" spans="1:11">
      <c r="A26" s="90"/>
      <c r="K26" s="91"/>
    </row>
    <row r="27" spans="1:11">
      <c r="A27" s="90"/>
      <c r="K27" s="91"/>
    </row>
    <row r="28" spans="1:11">
      <c r="A28" s="90"/>
      <c r="K28" s="91"/>
    </row>
    <row r="29" spans="1:11">
      <c r="A29" s="90"/>
      <c r="K29" s="91"/>
    </row>
    <row r="30" spans="1:11">
      <c r="A30" s="90"/>
      <c r="K30" s="91"/>
    </row>
    <row r="31" spans="1:11">
      <c r="A31" s="90"/>
      <c r="D31" s="138" t="s">
        <v>75</v>
      </c>
      <c r="E31" s="138"/>
      <c r="F31" s="138"/>
      <c r="G31" s="138"/>
      <c r="H31" s="138"/>
      <c r="K31" s="91"/>
    </row>
    <row r="32" spans="1:11">
      <c r="A32" s="90"/>
      <c r="D32" s="83"/>
      <c r="E32" s="83"/>
      <c r="K32" s="91"/>
    </row>
    <row r="33" spans="1:11" ht="16" thickBot="1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4"/>
    </row>
    <row r="34" spans="1:11" ht="16" thickTop="1"/>
  </sheetData>
  <mergeCells count="5">
    <mergeCell ref="C5:I9"/>
    <mergeCell ref="D16:H17"/>
    <mergeCell ref="D31:H31"/>
    <mergeCell ref="D18:H18"/>
    <mergeCell ref="C10:I11"/>
  </mergeCells>
  <hyperlinks>
    <hyperlink ref="D31" r:id="rId1" xr:uid="{E51F3CFC-536E-7447-B304-60F77104E396}"/>
  </hyperlinks>
  <pageMargins left="0.7" right="0.7" top="0.75" bottom="0.75" header="0.3" footer="0.3"/>
  <pageSetup paperSize="9" orientation="landscape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zoomScaleNormal="100" zoomScalePageLayoutView="74" workbookViewId="0">
      <selection activeCell="L36" sqref="L36"/>
    </sheetView>
  </sheetViews>
  <sheetFormatPr baseColWidth="10" defaultColWidth="11.5" defaultRowHeight="14"/>
  <cols>
    <col min="1" max="1" width="16" style="20" bestFit="1" customWidth="1"/>
    <col min="2" max="2" width="17.33203125" style="20" bestFit="1" customWidth="1"/>
    <col min="3" max="3" width="13.5" style="20" bestFit="1" customWidth="1"/>
    <col min="4" max="4" width="13.6640625" style="20" bestFit="1" customWidth="1"/>
    <col min="5" max="7" width="11.5" style="20"/>
    <col min="8" max="8" width="13.5" style="20" customWidth="1"/>
    <col min="9" max="9" width="13" style="20" customWidth="1"/>
    <col min="10" max="16384" width="11.5" style="20"/>
  </cols>
  <sheetData>
    <row r="1" spans="1:10" ht="13.75" customHeight="1">
      <c r="C1" s="157" t="s">
        <v>74</v>
      </c>
      <c r="D1" s="158"/>
      <c r="E1" s="158"/>
      <c r="F1" s="61" t="s">
        <v>58</v>
      </c>
      <c r="G1" s="62" t="s">
        <v>59</v>
      </c>
      <c r="H1" s="62" t="s">
        <v>66</v>
      </c>
      <c r="I1" s="97" t="s">
        <v>76</v>
      </c>
    </row>
    <row r="2" spans="1:10" ht="13.75" customHeight="1" thickBot="1">
      <c r="C2" s="159"/>
      <c r="D2" s="160"/>
      <c r="E2" s="160"/>
      <c r="F2" s="58">
        <f>A6</f>
        <v>7</v>
      </c>
      <c r="G2" s="59">
        <f>A7-A6</f>
        <v>1</v>
      </c>
      <c r="H2" s="99">
        <v>4</v>
      </c>
      <c r="I2" s="98" t="s">
        <v>77</v>
      </c>
    </row>
    <row r="3" spans="1:10" ht="15" thickBot="1">
      <c r="H3" s="75"/>
    </row>
    <row r="4" spans="1:10" ht="14.5" customHeight="1">
      <c r="A4" s="101" t="s">
        <v>80</v>
      </c>
      <c r="B4" s="100" t="s">
        <v>8</v>
      </c>
      <c r="C4" s="101" t="s">
        <v>9</v>
      </c>
      <c r="D4" s="101" t="s">
        <v>103</v>
      </c>
      <c r="F4" s="166" t="s">
        <v>10</v>
      </c>
      <c r="G4" s="167"/>
      <c r="H4" s="168" t="s">
        <v>85</v>
      </c>
      <c r="I4" s="169"/>
    </row>
    <row r="5" spans="1:10" ht="15" thickBot="1">
      <c r="A5" s="21">
        <v>0</v>
      </c>
      <c r="B5" s="21"/>
      <c r="C5" s="107">
        <v>1</v>
      </c>
      <c r="D5" s="107"/>
      <c r="F5" s="161" t="s">
        <v>11</v>
      </c>
      <c r="G5" s="162"/>
      <c r="H5" s="163" t="s">
        <v>86</v>
      </c>
      <c r="I5" s="164"/>
    </row>
    <row r="6" spans="1:10">
      <c r="A6" s="23">
        <v>7</v>
      </c>
      <c r="B6" s="23">
        <v>133</v>
      </c>
      <c r="C6" s="23">
        <v>1.9</v>
      </c>
      <c r="D6" s="23">
        <v>9</v>
      </c>
      <c r="F6" s="161" t="s">
        <v>12</v>
      </c>
      <c r="G6" s="162"/>
      <c r="H6" s="163" t="s">
        <v>105</v>
      </c>
      <c r="I6" s="164"/>
    </row>
    <row r="7" spans="1:10">
      <c r="A7" s="23">
        <v>8</v>
      </c>
      <c r="B7" s="23">
        <v>141</v>
      </c>
      <c r="C7" s="108">
        <v>2.8</v>
      </c>
      <c r="D7" s="108">
        <v>9</v>
      </c>
      <c r="F7" s="161" t="s">
        <v>13</v>
      </c>
      <c r="G7" s="162"/>
      <c r="H7" s="163" t="s">
        <v>106</v>
      </c>
      <c r="I7" s="164"/>
    </row>
    <row r="8" spans="1:10">
      <c r="A8" s="23">
        <v>9</v>
      </c>
      <c r="B8" s="23">
        <v>150</v>
      </c>
      <c r="C8" s="23">
        <v>3</v>
      </c>
      <c r="D8" s="23">
        <v>14</v>
      </c>
      <c r="F8" s="165" t="s">
        <v>87</v>
      </c>
      <c r="G8" s="162"/>
      <c r="H8" s="163" t="s">
        <v>88</v>
      </c>
      <c r="I8" s="164"/>
    </row>
    <row r="9" spans="1:10">
      <c r="A9" s="23">
        <v>10</v>
      </c>
      <c r="B9" s="23">
        <v>159</v>
      </c>
      <c r="C9" s="23">
        <v>3.8</v>
      </c>
      <c r="D9" s="23">
        <v>16</v>
      </c>
      <c r="F9" s="165" t="s">
        <v>89</v>
      </c>
      <c r="G9" s="162"/>
      <c r="H9" s="162">
        <v>1968</v>
      </c>
      <c r="I9" s="164"/>
    </row>
    <row r="10" spans="1:10">
      <c r="A10" s="23">
        <v>11</v>
      </c>
      <c r="B10" s="23">
        <v>167</v>
      </c>
      <c r="C10" s="23">
        <v>5.2</v>
      </c>
      <c r="D10" s="23">
        <v>17</v>
      </c>
      <c r="F10" s="161" t="s">
        <v>14</v>
      </c>
      <c r="G10" s="162"/>
      <c r="H10" s="174">
        <v>179</v>
      </c>
      <c r="I10" s="175"/>
    </row>
    <row r="11" spans="1:10">
      <c r="A11" s="115">
        <v>12</v>
      </c>
      <c r="B11" s="115">
        <v>173</v>
      </c>
      <c r="C11" s="115">
        <v>7.9</v>
      </c>
      <c r="D11" s="111">
        <v>18</v>
      </c>
      <c r="F11" s="161" t="s">
        <v>15</v>
      </c>
      <c r="G11" s="176"/>
      <c r="H11" s="163">
        <v>71.5</v>
      </c>
      <c r="I11" s="164"/>
    </row>
    <row r="12" spans="1:10" ht="15" customHeight="1" thickBot="1">
      <c r="A12" s="118"/>
      <c r="B12" s="118"/>
      <c r="C12" s="118"/>
      <c r="F12" s="170" t="s">
        <v>16</v>
      </c>
      <c r="G12" s="171"/>
      <c r="H12" s="172" t="s">
        <v>45</v>
      </c>
      <c r="I12" s="173"/>
    </row>
    <row r="13" spans="1:10" ht="15" customHeight="1">
      <c r="A13" s="116"/>
      <c r="B13" s="117"/>
      <c r="C13" s="117"/>
      <c r="F13" s="71"/>
      <c r="G13" s="71"/>
      <c r="H13" s="72"/>
      <c r="I13" s="71"/>
    </row>
    <row r="14" spans="1:10" ht="15" customHeight="1">
      <c r="A14" s="102"/>
      <c r="B14" s="102"/>
      <c r="C14" s="102"/>
      <c r="F14" s="71"/>
      <c r="G14" s="71"/>
      <c r="H14" s="72"/>
      <c r="I14" s="71"/>
    </row>
    <row r="15" spans="1:10" ht="15" thickBot="1">
      <c r="A15" s="102"/>
      <c r="B15" s="102"/>
      <c r="C15" s="102"/>
    </row>
    <row r="16" spans="1:10" ht="15.75" customHeight="1" thickBot="1">
      <c r="A16" s="103" t="s">
        <v>19</v>
      </c>
      <c r="F16" s="25" t="s">
        <v>17</v>
      </c>
      <c r="G16" s="143" t="s">
        <v>117</v>
      </c>
      <c r="H16" s="149"/>
      <c r="I16" s="150"/>
      <c r="J16" s="20" t="s">
        <v>18</v>
      </c>
    </row>
    <row r="17" spans="1:12" ht="15" customHeight="1">
      <c r="A17" s="66" t="s">
        <v>80</v>
      </c>
      <c r="B17" s="63" t="s">
        <v>60</v>
      </c>
      <c r="C17" s="66" t="s">
        <v>82</v>
      </c>
      <c r="G17" s="151"/>
      <c r="H17" s="152"/>
      <c r="I17" s="153"/>
    </row>
    <row r="18" spans="1:12" ht="15" thickBot="1">
      <c r="A18" s="22">
        <f>MAX(A6:A13)</f>
        <v>12</v>
      </c>
      <c r="B18" s="22">
        <v>1.75</v>
      </c>
      <c r="C18" s="69">
        <f>A18-(G2*((H2-B18)/H2))</f>
        <v>11.4375</v>
      </c>
      <c r="G18" s="154"/>
      <c r="H18" s="155"/>
      <c r="I18" s="156"/>
    </row>
    <row r="21" spans="1:12">
      <c r="A21" s="26" t="s">
        <v>20</v>
      </c>
      <c r="B21" s="26">
        <v>1</v>
      </c>
      <c r="C21" s="26">
        <v>1.5</v>
      </c>
      <c r="D21" s="26">
        <v>2</v>
      </c>
      <c r="E21" s="26">
        <v>3</v>
      </c>
      <c r="F21" s="26">
        <v>4</v>
      </c>
      <c r="G21" s="26">
        <v>6</v>
      </c>
      <c r="H21" s="26">
        <v>8</v>
      </c>
    </row>
    <row r="22" spans="1:12">
      <c r="A22" s="86" t="s">
        <v>80</v>
      </c>
      <c r="B22" s="112">
        <f>b!C22</f>
        <v>6</v>
      </c>
      <c r="C22" s="112">
        <f>b!C23</f>
        <v>6</v>
      </c>
      <c r="D22" s="70">
        <f>b!C24</f>
        <v>7.0640000000000001</v>
      </c>
      <c r="E22" s="70">
        <f>b!C26</f>
        <v>8.7070000000000007</v>
      </c>
      <c r="F22" s="70">
        <f>b!C27</f>
        <v>10.229700000000001</v>
      </c>
      <c r="G22" s="70">
        <f>b!C28</f>
        <v>11.368</v>
      </c>
      <c r="H22" s="70"/>
    </row>
    <row r="23" spans="1:12">
      <c r="A23" s="86" t="s">
        <v>81</v>
      </c>
      <c r="B23" s="112">
        <f>b!D23</f>
        <v>0</v>
      </c>
      <c r="C23" s="112">
        <f>b!D24</f>
        <v>0</v>
      </c>
      <c r="D23" s="95">
        <f t="shared" ref="D23:G23" si="0">TIME(0,0,1/(D22/3600))</f>
        <v>5.8912037037037041E-3</v>
      </c>
      <c r="E23" s="95">
        <f t="shared" si="0"/>
        <v>4.7800925925925927E-3</v>
      </c>
      <c r="F23" s="95">
        <f t="shared" si="0"/>
        <v>4.0625000000000001E-3</v>
      </c>
      <c r="G23" s="95">
        <f t="shared" si="0"/>
        <v>3.6574074074074074E-3</v>
      </c>
      <c r="H23" s="95"/>
    </row>
    <row r="24" spans="1:12">
      <c r="A24" s="85" t="s">
        <v>21</v>
      </c>
      <c r="B24" s="113">
        <f>b!F3</f>
        <v>125.13300000000001</v>
      </c>
      <c r="C24" s="113">
        <f>b!F4</f>
        <v>125.13300000000001</v>
      </c>
      <c r="D24" s="24">
        <f>b!F5</f>
        <v>133.8578</v>
      </c>
      <c r="E24" s="24">
        <f>b!F7</f>
        <v>147.3304</v>
      </c>
      <c r="F24" s="24">
        <f>b!F8</f>
        <v>159.81654</v>
      </c>
      <c r="G24" s="24">
        <f>b!F9</f>
        <v>169.1506</v>
      </c>
      <c r="H24" s="24"/>
    </row>
    <row r="25" spans="1:12" ht="8.25" customHeight="1" thickBot="1"/>
    <row r="26" spans="1:12" ht="15" thickBot="1">
      <c r="F26" s="84" t="s">
        <v>22</v>
      </c>
    </row>
    <row r="27" spans="1:12" ht="15" customHeight="1">
      <c r="A27" s="119" t="str">
        <f>b!M5</f>
        <v>Trainingsbereiche</v>
      </c>
      <c r="B27" s="119" t="s">
        <v>80</v>
      </c>
      <c r="C27" s="119" t="s">
        <v>81</v>
      </c>
      <c r="D27" s="119" t="s">
        <v>21</v>
      </c>
      <c r="E27" s="65" t="s">
        <v>103</v>
      </c>
      <c r="F27" s="143" t="s">
        <v>118</v>
      </c>
      <c r="G27" s="144"/>
      <c r="H27" s="144"/>
      <c r="I27" s="145"/>
    </row>
    <row r="28" spans="1:12" ht="14.5" customHeight="1">
      <c r="A28" s="120" t="s">
        <v>67</v>
      </c>
      <c r="B28" s="129"/>
      <c r="C28" s="129"/>
      <c r="D28" s="120"/>
      <c r="E28" s="130" t="s">
        <v>111</v>
      </c>
      <c r="F28" s="205" t="s">
        <v>119</v>
      </c>
      <c r="G28" s="203"/>
      <c r="H28" s="203"/>
      <c r="I28" s="206"/>
      <c r="L28" s="75"/>
    </row>
    <row r="29" spans="1:12" ht="14.5" customHeight="1">
      <c r="A29" s="121" t="s">
        <v>68</v>
      </c>
      <c r="B29" s="126" t="str">
        <f>b!O7</f>
        <v>&lt; 7,0</v>
      </c>
      <c r="C29" s="127" t="str">
        <f>b!P7</f>
        <v>&gt; 08:30</v>
      </c>
      <c r="D29" s="121" t="str">
        <f>b!Q7</f>
        <v>&lt; 130</v>
      </c>
      <c r="E29" s="131" t="s">
        <v>112</v>
      </c>
      <c r="F29" s="207" t="s">
        <v>120</v>
      </c>
      <c r="G29" s="208"/>
      <c r="H29" s="208"/>
      <c r="I29" s="209"/>
    </row>
    <row r="30" spans="1:12" ht="14.5" customHeight="1">
      <c r="A30" s="122" t="s">
        <v>69</v>
      </c>
      <c r="B30" s="128" t="str">
        <f>b!O8</f>
        <v>7,0 - 9,2</v>
      </c>
      <c r="C30" s="128" t="str">
        <f>b!P8</f>
        <v>08:30 - 06:30</v>
      </c>
      <c r="D30" s="122" t="str">
        <f>b!Q8</f>
        <v>130 - 150</v>
      </c>
      <c r="E30" s="132" t="s">
        <v>113</v>
      </c>
      <c r="F30" s="202" t="s">
        <v>121</v>
      </c>
      <c r="G30" s="203"/>
      <c r="H30" s="203"/>
      <c r="I30" s="204"/>
    </row>
    <row r="31" spans="1:12" ht="14.5" customHeight="1">
      <c r="A31" s="123" t="s">
        <v>70</v>
      </c>
      <c r="B31" s="123" t="str">
        <f>b!O9</f>
        <v>9,2 - 10,2</v>
      </c>
      <c r="C31" s="123" t="str">
        <f>b!P9</f>
        <v>06:30 - 05:50</v>
      </c>
      <c r="D31" s="123" t="str">
        <f>b!Q9</f>
        <v>150 - 160</v>
      </c>
      <c r="E31" s="133" t="s">
        <v>114</v>
      </c>
      <c r="F31" s="210" t="s">
        <v>122</v>
      </c>
      <c r="G31" s="208"/>
      <c r="H31" s="208"/>
      <c r="I31" s="211"/>
    </row>
    <row r="32" spans="1:12" ht="14.5" customHeight="1">
      <c r="A32" s="124" t="s">
        <v>71</v>
      </c>
      <c r="B32" s="124" t="str">
        <f>b!O10</f>
        <v>10,2 - 12,0</v>
      </c>
      <c r="C32" s="124" t="str">
        <f>b!P10</f>
        <v>05:50 - 05:00</v>
      </c>
      <c r="D32" s="124" t="str">
        <f>b!Q10</f>
        <v>160 - 170</v>
      </c>
      <c r="E32" s="134" t="s">
        <v>115</v>
      </c>
      <c r="F32" s="202" t="s">
        <v>123</v>
      </c>
      <c r="G32" s="203"/>
      <c r="H32" s="203"/>
      <c r="I32" s="204"/>
    </row>
    <row r="33" spans="1:9" ht="14.5" customHeight="1">
      <c r="A33" s="125" t="s">
        <v>72</v>
      </c>
      <c r="B33" s="125" t="str">
        <f>b!O11</f>
        <v>&gt; 12,0</v>
      </c>
      <c r="C33" s="125" t="str">
        <f>b!P11</f>
        <v>&lt; 05:00</v>
      </c>
      <c r="D33" s="125" t="str">
        <f>b!Q11</f>
        <v>&gt; 170</v>
      </c>
      <c r="E33" s="135" t="s">
        <v>116</v>
      </c>
      <c r="F33" s="146" t="s">
        <v>124</v>
      </c>
      <c r="G33" s="201"/>
      <c r="H33" s="201"/>
      <c r="I33" s="147"/>
    </row>
    <row r="34" spans="1:9" ht="14.5" customHeight="1" thickBot="1">
      <c r="F34" s="212" t="s">
        <v>125</v>
      </c>
      <c r="G34" s="213"/>
      <c r="H34" s="213"/>
      <c r="I34" s="214"/>
    </row>
    <row r="35" spans="1:9" ht="15" customHeight="1"/>
    <row r="78" spans="1:10">
      <c r="A78" s="75"/>
      <c r="B78" s="75"/>
      <c r="C78" s="75"/>
      <c r="D78" s="75"/>
      <c r="E78" s="75"/>
      <c r="F78" s="75"/>
      <c r="G78" s="75"/>
      <c r="H78" s="75"/>
      <c r="I78" s="75"/>
      <c r="J78" s="75"/>
    </row>
    <row r="79" spans="1:10">
      <c r="A79" s="75"/>
      <c r="B79" s="75"/>
      <c r="C79" s="75"/>
      <c r="D79" s="75"/>
      <c r="E79" s="75"/>
      <c r="F79" s="75"/>
      <c r="G79" s="75"/>
      <c r="H79" s="75"/>
      <c r="I79" s="75"/>
      <c r="J79" s="75"/>
    </row>
    <row r="80" spans="1:10">
      <c r="A80" s="75"/>
      <c r="B80" s="75"/>
      <c r="C80" s="75"/>
      <c r="D80" s="75"/>
      <c r="E80" s="75"/>
      <c r="F80" s="75"/>
      <c r="G80" s="75"/>
      <c r="H80" s="75"/>
      <c r="I80" s="75"/>
      <c r="J80" s="75"/>
    </row>
    <row r="81" spans="1:10">
      <c r="A81" s="75"/>
      <c r="B81" s="75"/>
      <c r="C81" s="75"/>
      <c r="D81" s="75"/>
      <c r="E81" s="75"/>
      <c r="F81" s="75"/>
      <c r="G81" s="75"/>
      <c r="H81" s="75"/>
      <c r="I81" s="75"/>
      <c r="J81" s="75"/>
    </row>
    <row r="82" spans="1:10">
      <c r="A82" s="75"/>
      <c r="B82" s="75"/>
      <c r="C82" s="75"/>
      <c r="D82" s="75"/>
      <c r="E82" s="75"/>
      <c r="F82" s="75"/>
      <c r="G82" s="75"/>
      <c r="H82" s="75"/>
      <c r="I82" s="75"/>
      <c r="J82" s="75"/>
    </row>
    <row r="83" spans="1:10">
      <c r="A83" s="75"/>
      <c r="B83" s="75"/>
      <c r="C83" s="75"/>
      <c r="D83" s="75"/>
      <c r="E83" s="75"/>
      <c r="F83" s="75"/>
      <c r="G83" s="75"/>
      <c r="H83" s="75"/>
      <c r="I83" s="75"/>
      <c r="J83" s="75"/>
    </row>
    <row r="84" spans="1:10">
      <c r="A84" s="75"/>
      <c r="B84" s="75"/>
      <c r="C84" s="75"/>
      <c r="D84" s="142"/>
      <c r="E84" s="142"/>
      <c r="F84" s="142"/>
      <c r="G84" s="142"/>
      <c r="H84" s="142"/>
      <c r="I84" s="142"/>
      <c r="J84" s="75"/>
    </row>
    <row r="85" spans="1:10">
      <c r="A85" s="75"/>
      <c r="B85" s="148"/>
      <c r="C85" s="148"/>
      <c r="D85" s="105"/>
      <c r="E85" s="105"/>
      <c r="F85" s="105"/>
      <c r="G85" s="105"/>
      <c r="H85" s="105"/>
      <c r="I85" s="105"/>
      <c r="J85" s="75"/>
    </row>
    <row r="86" spans="1:10">
      <c r="A86" s="75"/>
      <c r="B86" s="142"/>
      <c r="C86" s="142"/>
      <c r="D86" s="75"/>
      <c r="E86" s="75"/>
      <c r="F86" s="104"/>
      <c r="G86" s="75"/>
      <c r="H86" s="75"/>
      <c r="I86" s="104"/>
      <c r="J86" s="75"/>
    </row>
    <row r="87" spans="1:10">
      <c r="A87" s="75"/>
      <c r="B87" s="142"/>
      <c r="C87" s="142"/>
      <c r="D87" s="106"/>
      <c r="E87" s="104"/>
      <c r="F87" s="104"/>
      <c r="G87" s="106"/>
      <c r="H87" s="104"/>
      <c r="I87" s="104"/>
      <c r="J87" s="75"/>
    </row>
    <row r="88" spans="1:10">
      <c r="A88" s="75"/>
      <c r="B88" s="142"/>
      <c r="C88" s="142"/>
      <c r="D88" s="104"/>
      <c r="E88" s="104"/>
      <c r="F88" s="104"/>
      <c r="G88" s="104"/>
      <c r="H88" s="104"/>
      <c r="I88" s="104"/>
      <c r="J88" s="75"/>
    </row>
    <row r="89" spans="1:10">
      <c r="A89" s="75"/>
      <c r="B89" s="142"/>
      <c r="C89" s="142"/>
      <c r="D89" s="104"/>
      <c r="E89" s="104"/>
      <c r="F89" s="104"/>
      <c r="G89" s="104"/>
      <c r="H89" s="104"/>
      <c r="I89" s="104"/>
      <c r="J89" s="75"/>
    </row>
    <row r="90" spans="1:10">
      <c r="A90" s="75"/>
      <c r="B90" s="142"/>
      <c r="C90" s="142"/>
      <c r="D90" s="104"/>
      <c r="E90" s="104"/>
      <c r="F90" s="104"/>
      <c r="G90" s="104"/>
      <c r="H90" s="104"/>
      <c r="I90" s="104"/>
      <c r="J90" s="75"/>
    </row>
    <row r="91" spans="1:10">
      <c r="A91" s="75"/>
      <c r="B91" s="142"/>
      <c r="C91" s="142"/>
      <c r="D91" s="104"/>
      <c r="E91" s="104"/>
      <c r="F91" s="104"/>
      <c r="G91" s="104"/>
      <c r="H91" s="104"/>
      <c r="I91" s="104"/>
      <c r="J91" s="75"/>
    </row>
    <row r="92" spans="1:10">
      <c r="A92" s="75"/>
      <c r="B92" s="75"/>
      <c r="C92" s="75"/>
      <c r="D92" s="75"/>
      <c r="E92" s="75"/>
      <c r="F92" s="75"/>
      <c r="G92" s="75"/>
      <c r="H92" s="75"/>
      <c r="I92" s="75"/>
      <c r="J92" s="75"/>
    </row>
    <row r="93" spans="1:10">
      <c r="A93" s="75"/>
      <c r="B93" s="75"/>
      <c r="C93" s="75"/>
      <c r="D93" s="75"/>
      <c r="E93" s="75"/>
      <c r="F93" s="75"/>
      <c r="G93" s="75"/>
      <c r="H93" s="75"/>
      <c r="I93" s="75"/>
      <c r="J93" s="75"/>
    </row>
    <row r="94" spans="1:10">
      <c r="A94" s="75"/>
      <c r="B94" s="75"/>
      <c r="C94" s="75"/>
      <c r="D94" s="75"/>
      <c r="E94" s="75"/>
      <c r="F94" s="75"/>
      <c r="G94" s="75"/>
      <c r="H94" s="75"/>
      <c r="I94" s="75"/>
      <c r="J94" s="75"/>
    </row>
    <row r="95" spans="1:10">
      <c r="A95" s="75"/>
      <c r="B95" s="75"/>
      <c r="C95" s="75"/>
      <c r="D95" s="75"/>
      <c r="E95" s="75"/>
      <c r="F95" s="75"/>
      <c r="G95" s="75"/>
      <c r="H95" s="75"/>
      <c r="I95" s="75"/>
      <c r="J95" s="75"/>
    </row>
    <row r="96" spans="1:10">
      <c r="A96" s="75"/>
      <c r="B96" s="75"/>
      <c r="C96" s="75"/>
      <c r="D96" s="75"/>
      <c r="E96" s="75"/>
      <c r="F96" s="75"/>
      <c r="G96" s="75"/>
      <c r="H96" s="75"/>
      <c r="I96" s="75"/>
      <c r="J96" s="75"/>
    </row>
    <row r="97" spans="1:10">
      <c r="A97" s="75"/>
      <c r="B97" s="75"/>
      <c r="C97" s="75"/>
      <c r="D97" s="75"/>
      <c r="E97" s="75"/>
      <c r="F97" s="75"/>
      <c r="G97" s="75"/>
      <c r="H97" s="75"/>
      <c r="I97" s="75"/>
      <c r="J97" s="75"/>
    </row>
    <row r="98" spans="1:10">
      <c r="A98" s="75"/>
      <c r="B98" s="75"/>
      <c r="C98" s="75"/>
      <c r="D98" s="75"/>
      <c r="E98" s="75"/>
      <c r="F98" s="75"/>
      <c r="G98" s="75"/>
      <c r="H98" s="75"/>
      <c r="I98" s="75"/>
      <c r="J98" s="75"/>
    </row>
    <row r="99" spans="1:10">
      <c r="A99" s="75"/>
      <c r="B99" s="75"/>
      <c r="C99" s="75"/>
      <c r="D99" s="75"/>
      <c r="E99" s="75"/>
      <c r="F99" s="75"/>
      <c r="G99" s="75"/>
      <c r="H99" s="75"/>
      <c r="I99" s="75"/>
      <c r="J99" s="75"/>
    </row>
    <row r="100" spans="1:10">
      <c r="A100" s="75"/>
      <c r="B100" s="75"/>
      <c r="C100" s="75"/>
      <c r="D100" s="75"/>
      <c r="E100" s="75"/>
      <c r="F100" s="75"/>
      <c r="G100" s="75"/>
      <c r="H100" s="75"/>
      <c r="I100" s="75"/>
      <c r="J100" s="75"/>
    </row>
    <row r="101" spans="1:10">
      <c r="A101" s="75"/>
      <c r="B101" s="75"/>
      <c r="C101" s="75"/>
      <c r="D101" s="75"/>
      <c r="E101" s="75"/>
      <c r="F101" s="75"/>
      <c r="G101" s="75"/>
      <c r="H101" s="75"/>
      <c r="I101" s="75"/>
      <c r="J101" s="75"/>
    </row>
    <row r="102" spans="1:10">
      <c r="A102" s="75"/>
      <c r="B102" s="75"/>
      <c r="C102" s="75"/>
      <c r="D102" s="75"/>
      <c r="E102" s="75"/>
      <c r="F102" s="75"/>
      <c r="G102" s="75"/>
      <c r="H102" s="75"/>
      <c r="I102" s="75"/>
      <c r="J102" s="75"/>
    </row>
    <row r="103" spans="1:10">
      <c r="A103" s="75"/>
      <c r="B103" s="75"/>
      <c r="C103" s="75"/>
      <c r="D103" s="75"/>
      <c r="E103" s="75"/>
      <c r="F103" s="75"/>
      <c r="G103" s="75"/>
      <c r="H103" s="75"/>
      <c r="I103" s="75"/>
      <c r="J103" s="75"/>
    </row>
    <row r="104" spans="1:10">
      <c r="A104" s="75"/>
      <c r="B104" s="75"/>
      <c r="C104" s="75"/>
      <c r="D104" s="75"/>
      <c r="E104" s="75"/>
      <c r="F104" s="75"/>
      <c r="G104" s="75"/>
      <c r="H104" s="75"/>
      <c r="I104" s="75"/>
      <c r="J104" s="75"/>
    </row>
    <row r="105" spans="1:10">
      <c r="A105" s="75"/>
      <c r="B105" s="75"/>
      <c r="C105" s="75"/>
      <c r="D105" s="75"/>
      <c r="E105" s="75"/>
      <c r="F105" s="75"/>
      <c r="G105" s="75"/>
      <c r="H105" s="75"/>
      <c r="I105" s="75"/>
      <c r="J105" s="75"/>
    </row>
    <row r="106" spans="1:10">
      <c r="A106" s="75"/>
      <c r="B106" s="75"/>
      <c r="C106" s="75"/>
      <c r="D106" s="75"/>
      <c r="E106" s="75"/>
      <c r="F106" s="75"/>
      <c r="G106" s="75"/>
      <c r="H106" s="75"/>
      <c r="I106" s="75"/>
      <c r="J106" s="75"/>
    </row>
    <row r="107" spans="1:10">
      <c r="A107" s="75"/>
      <c r="B107" s="75"/>
      <c r="C107" s="75"/>
      <c r="D107" s="75"/>
      <c r="E107" s="75"/>
      <c r="F107" s="75"/>
      <c r="G107" s="75"/>
      <c r="H107" s="75"/>
      <c r="I107" s="75"/>
      <c r="J107" s="75"/>
    </row>
    <row r="108" spans="1:10">
      <c r="A108" s="75"/>
      <c r="B108" s="75"/>
      <c r="C108" s="75"/>
      <c r="D108" s="75"/>
      <c r="E108" s="75"/>
      <c r="F108" s="75"/>
      <c r="G108" s="75"/>
      <c r="H108" s="75"/>
      <c r="I108" s="75"/>
      <c r="J108" s="75"/>
    </row>
    <row r="109" spans="1:10">
      <c r="A109" s="75"/>
      <c r="B109" s="75"/>
      <c r="C109" s="75"/>
      <c r="D109" s="75"/>
      <c r="E109" s="75"/>
      <c r="F109" s="75"/>
      <c r="G109" s="75"/>
      <c r="H109" s="75"/>
      <c r="I109" s="75"/>
      <c r="J109" s="75"/>
    </row>
    <row r="110" spans="1:10">
      <c r="A110" s="75"/>
      <c r="B110" s="75"/>
      <c r="C110" s="75"/>
      <c r="D110" s="75"/>
      <c r="E110" s="75"/>
      <c r="F110" s="75"/>
      <c r="G110" s="75"/>
      <c r="H110" s="75"/>
      <c r="I110" s="75"/>
      <c r="J110" s="75"/>
    </row>
    <row r="111" spans="1:10">
      <c r="A111" s="75"/>
      <c r="B111" s="75"/>
      <c r="C111" s="75"/>
      <c r="D111" s="75"/>
      <c r="E111" s="75"/>
      <c r="F111" s="75"/>
      <c r="G111" s="75"/>
      <c r="H111" s="75"/>
      <c r="I111" s="75"/>
      <c r="J111" s="75"/>
    </row>
    <row r="112" spans="1:10">
      <c r="A112" s="75"/>
      <c r="B112" s="75"/>
      <c r="C112" s="75"/>
      <c r="D112" s="75"/>
      <c r="E112" s="75"/>
      <c r="F112" s="75"/>
      <c r="G112" s="75"/>
      <c r="H112" s="75"/>
      <c r="I112" s="75"/>
      <c r="J112" s="75"/>
    </row>
    <row r="113" spans="1:10">
      <c r="A113" s="75"/>
      <c r="B113" s="75"/>
      <c r="C113" s="75"/>
      <c r="D113" s="75"/>
      <c r="E113" s="75"/>
      <c r="F113" s="75"/>
      <c r="G113" s="75"/>
      <c r="H113" s="75"/>
      <c r="I113" s="75"/>
      <c r="J113" s="75"/>
    </row>
    <row r="114" spans="1:10">
      <c r="A114" s="75"/>
      <c r="B114" s="75"/>
      <c r="C114" s="75"/>
      <c r="D114" s="75"/>
      <c r="E114" s="75"/>
      <c r="F114" s="75"/>
      <c r="G114" s="75"/>
      <c r="H114" s="75"/>
      <c r="I114" s="75"/>
      <c r="J114" s="75"/>
    </row>
    <row r="115" spans="1:10">
      <c r="A115" s="75"/>
      <c r="B115" s="75"/>
      <c r="C115" s="75"/>
      <c r="D115" s="75"/>
      <c r="E115" s="75"/>
      <c r="F115" s="75"/>
      <c r="G115" s="75"/>
      <c r="H115" s="75"/>
      <c r="I115" s="75"/>
      <c r="J115" s="75"/>
    </row>
    <row r="116" spans="1:10">
      <c r="A116" s="75"/>
      <c r="B116" s="75"/>
      <c r="C116" s="75"/>
      <c r="D116" s="75"/>
      <c r="E116" s="75"/>
      <c r="F116" s="75"/>
      <c r="G116" s="75"/>
      <c r="H116" s="75"/>
      <c r="I116" s="75"/>
      <c r="J116" s="75"/>
    </row>
  </sheetData>
  <mergeCells count="37">
    <mergeCell ref="F34:I34"/>
    <mergeCell ref="F10:G10"/>
    <mergeCell ref="H10:I10"/>
    <mergeCell ref="F11:G11"/>
    <mergeCell ref="H11:I11"/>
    <mergeCell ref="F27:I27"/>
    <mergeCell ref="G16:I18"/>
    <mergeCell ref="C1:E2"/>
    <mergeCell ref="F7:G7"/>
    <mergeCell ref="H7:I7"/>
    <mergeCell ref="F8:G8"/>
    <mergeCell ref="H8:I8"/>
    <mergeCell ref="F6:G6"/>
    <mergeCell ref="H6:I6"/>
    <mergeCell ref="F4:G4"/>
    <mergeCell ref="H4:I4"/>
    <mergeCell ref="F5:G5"/>
    <mergeCell ref="H5:I5"/>
    <mergeCell ref="F12:G12"/>
    <mergeCell ref="H12:I12"/>
    <mergeCell ref="F9:G9"/>
    <mergeCell ref="H9:I9"/>
    <mergeCell ref="B88:C88"/>
    <mergeCell ref="B89:C89"/>
    <mergeCell ref="B90:C90"/>
    <mergeCell ref="B91:C91"/>
    <mergeCell ref="D84:F84"/>
    <mergeCell ref="G84:I84"/>
    <mergeCell ref="B85:C85"/>
    <mergeCell ref="B86:C86"/>
    <mergeCell ref="B87:C87"/>
    <mergeCell ref="F28:I28"/>
    <mergeCell ref="F29:I29"/>
    <mergeCell ref="F30:I30"/>
    <mergeCell ref="F31:I31"/>
    <mergeCell ref="F32:I32"/>
    <mergeCell ref="F33:I33"/>
  </mergeCells>
  <dataValidations count="1">
    <dataValidation type="list" allowBlank="1" showInputMessage="1" showErrorMessage="1" errorTitle="Angabe!" sqref="H12:I14" xr:uid="{00000000-0002-0000-0000-000000000000}">
      <formula1>ja_nein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"/>
  <sheetViews>
    <sheetView workbookViewId="0">
      <selection activeCell="Q11" sqref="Q11"/>
    </sheetView>
  </sheetViews>
  <sheetFormatPr baseColWidth="10" defaultRowHeight="15"/>
  <sheetData>
    <row r="1" spans="1:22">
      <c r="A1" s="187" t="s">
        <v>50</v>
      </c>
      <c r="B1" s="188"/>
      <c r="C1" s="188"/>
      <c r="D1" s="189"/>
      <c r="E1" s="52"/>
      <c r="F1" s="52"/>
      <c r="G1" s="200" t="s">
        <v>61</v>
      </c>
      <c r="H1" s="180"/>
    </row>
    <row r="2" spans="1:22">
      <c r="A2" s="51" t="s">
        <v>51</v>
      </c>
      <c r="B2" s="51" t="s">
        <v>62</v>
      </c>
      <c r="C2" s="51" t="s">
        <v>20</v>
      </c>
      <c r="D2" s="51" t="s">
        <v>47</v>
      </c>
      <c r="E2" s="181" t="s">
        <v>48</v>
      </c>
      <c r="F2" s="182"/>
      <c r="G2" s="52" t="s">
        <v>27</v>
      </c>
      <c r="H2" s="56">
        <v>8.1999999999999993</v>
      </c>
      <c r="V2" t="s">
        <v>45</v>
      </c>
    </row>
    <row r="3" spans="1:22">
      <c r="A3" s="51">
        <v>1</v>
      </c>
      <c r="B3" s="51">
        <f>Auswertung!A6</f>
        <v>7</v>
      </c>
      <c r="C3" s="51">
        <f>Auswertung!C6</f>
        <v>1.9</v>
      </c>
      <c r="D3" s="52">
        <f>Auswertung!B6</f>
        <v>133</v>
      </c>
      <c r="E3" s="60">
        <v>1</v>
      </c>
      <c r="F3" s="55">
        <f t="shared" ref="F3:F10" si="0">C22*$H$2+$H$3</f>
        <v>125.13300000000001</v>
      </c>
      <c r="G3" s="52" t="s">
        <v>28</v>
      </c>
      <c r="H3" s="56">
        <v>75.933000000000007</v>
      </c>
      <c r="V3" t="s">
        <v>46</v>
      </c>
    </row>
    <row r="4" spans="1:22">
      <c r="A4" s="51">
        <v>2</v>
      </c>
      <c r="B4" s="51">
        <f>Auswertung!A7</f>
        <v>8</v>
      </c>
      <c r="C4" s="51">
        <f>Auswertung!C7</f>
        <v>2.8</v>
      </c>
      <c r="D4" s="52">
        <f>Auswertung!B7</f>
        <v>141</v>
      </c>
      <c r="E4" s="60">
        <v>1.5</v>
      </c>
      <c r="F4" s="55">
        <f t="shared" si="0"/>
        <v>125.13300000000001</v>
      </c>
    </row>
    <row r="5" spans="1:22">
      <c r="A5" s="51">
        <v>3</v>
      </c>
      <c r="B5" s="51">
        <f>Auswertung!A8</f>
        <v>9</v>
      </c>
      <c r="C5" s="51">
        <f>Auswertung!C8</f>
        <v>3</v>
      </c>
      <c r="D5" s="52">
        <f>Auswertung!B8</f>
        <v>150</v>
      </c>
      <c r="E5" s="60">
        <v>2</v>
      </c>
      <c r="F5" s="55">
        <f t="shared" si="0"/>
        <v>133.8578</v>
      </c>
      <c r="M5" s="198" t="s">
        <v>23</v>
      </c>
      <c r="N5" s="199"/>
      <c r="O5" s="64" t="s">
        <v>78</v>
      </c>
      <c r="P5" s="64" t="s">
        <v>79</v>
      </c>
      <c r="Q5" s="64" t="s">
        <v>24</v>
      </c>
    </row>
    <row r="6" spans="1:22">
      <c r="A6" s="51">
        <v>4</v>
      </c>
      <c r="B6" s="51">
        <f>Auswertung!A9</f>
        <v>10</v>
      </c>
      <c r="C6" s="51">
        <f>Auswertung!C9</f>
        <v>3.8</v>
      </c>
      <c r="D6" s="52">
        <f>Auswertung!B9</f>
        <v>159</v>
      </c>
      <c r="E6" s="60">
        <v>2.5</v>
      </c>
      <c r="F6" s="55">
        <f t="shared" si="0"/>
        <v>138.72613999999999</v>
      </c>
      <c r="M6" s="190" t="s">
        <v>67</v>
      </c>
      <c r="N6" s="191"/>
      <c r="O6" s="82"/>
      <c r="P6" s="82"/>
      <c r="Q6" s="82"/>
    </row>
    <row r="7" spans="1:22">
      <c r="A7" s="51">
        <v>5</v>
      </c>
      <c r="B7" s="51">
        <f>Auswertung!A10</f>
        <v>11</v>
      </c>
      <c r="C7" s="51">
        <f>Auswertung!C10</f>
        <v>5.2</v>
      </c>
      <c r="D7" s="52">
        <f>Auswertung!B10</f>
        <v>167</v>
      </c>
      <c r="E7" s="60">
        <v>3</v>
      </c>
      <c r="F7" s="55">
        <f t="shared" si="0"/>
        <v>147.3304</v>
      </c>
      <c r="M7" s="192" t="s">
        <v>68</v>
      </c>
      <c r="N7" s="193"/>
      <c r="O7" s="80" t="s">
        <v>92</v>
      </c>
      <c r="P7" s="109" t="s">
        <v>93</v>
      </c>
      <c r="Q7" s="81" t="s">
        <v>107</v>
      </c>
    </row>
    <row r="8" spans="1:22">
      <c r="A8" s="51">
        <v>6</v>
      </c>
      <c r="B8" s="51">
        <f>Auswertung!A11</f>
        <v>12</v>
      </c>
      <c r="C8" s="51">
        <f>Auswertung!C11</f>
        <v>7.9</v>
      </c>
      <c r="D8" s="52">
        <f>Auswertung!B11</f>
        <v>173</v>
      </c>
      <c r="E8" s="60">
        <v>4</v>
      </c>
      <c r="F8" s="55">
        <f t="shared" si="0"/>
        <v>159.81654</v>
      </c>
      <c r="M8" s="196" t="s">
        <v>69</v>
      </c>
      <c r="N8" s="197"/>
      <c r="O8" s="79" t="s">
        <v>95</v>
      </c>
      <c r="P8" s="79" t="s">
        <v>94</v>
      </c>
      <c r="Q8" s="79" t="s">
        <v>108</v>
      </c>
    </row>
    <row r="9" spans="1:22">
      <c r="A9" s="51">
        <v>7</v>
      </c>
      <c r="B9" s="51">
        <f>Auswertung!A12</f>
        <v>0</v>
      </c>
      <c r="C9" s="51">
        <f>Auswertung!C12</f>
        <v>0</v>
      </c>
      <c r="D9" s="52">
        <f>Auswertung!B12</f>
        <v>0</v>
      </c>
      <c r="E9" s="60">
        <v>6</v>
      </c>
      <c r="F9" s="55">
        <f t="shared" si="0"/>
        <v>169.1506</v>
      </c>
      <c r="M9" s="194" t="s">
        <v>70</v>
      </c>
      <c r="N9" s="195"/>
      <c r="O9" s="78" t="s">
        <v>98</v>
      </c>
      <c r="P9" s="114" t="s">
        <v>96</v>
      </c>
      <c r="Q9" s="78" t="s">
        <v>109</v>
      </c>
    </row>
    <row r="10" spans="1:22">
      <c r="A10" s="51">
        <v>8</v>
      </c>
      <c r="B10" s="51">
        <f>Auswertung!A13</f>
        <v>0</v>
      </c>
      <c r="C10" s="51">
        <f>Auswertung!C13</f>
        <v>0</v>
      </c>
      <c r="D10" s="52">
        <f>Auswertung!B13</f>
        <v>0</v>
      </c>
      <c r="E10" s="60">
        <v>8</v>
      </c>
      <c r="F10" s="55">
        <f t="shared" si="0"/>
        <v>174.52159999999998</v>
      </c>
      <c r="M10" s="183" t="s">
        <v>71</v>
      </c>
      <c r="N10" s="184"/>
      <c r="O10" s="76" t="s">
        <v>101</v>
      </c>
      <c r="P10" s="76" t="s">
        <v>102</v>
      </c>
      <c r="Q10" s="76" t="s">
        <v>97</v>
      </c>
    </row>
    <row r="11" spans="1:22">
      <c r="A11" s="51">
        <v>9</v>
      </c>
      <c r="B11" s="51">
        <f>Auswertung!A14</f>
        <v>0</v>
      </c>
      <c r="C11" s="51">
        <f>Auswertung!C14</f>
        <v>0</v>
      </c>
      <c r="D11" s="52">
        <f>Auswertung!B14</f>
        <v>0</v>
      </c>
      <c r="M11" s="185" t="s">
        <v>72</v>
      </c>
      <c r="N11" s="186"/>
      <c r="O11" s="77" t="s">
        <v>99</v>
      </c>
      <c r="P11" s="77" t="s">
        <v>100</v>
      </c>
      <c r="Q11" s="77" t="s">
        <v>110</v>
      </c>
    </row>
    <row r="12" spans="1:22">
      <c r="A12" s="51">
        <v>10</v>
      </c>
      <c r="B12" s="51">
        <f>Auswertung!A15</f>
        <v>0</v>
      </c>
      <c r="C12" s="51">
        <f>Auswertung!C15</f>
        <v>0</v>
      </c>
      <c r="D12" s="52">
        <f>Auswertung!B15</f>
        <v>0</v>
      </c>
      <c r="M12" s="73"/>
      <c r="N12" s="73"/>
      <c r="O12" s="74"/>
      <c r="P12" s="74"/>
      <c r="Q12" s="74"/>
    </row>
    <row r="13" spans="1:22">
      <c r="A13" s="96"/>
      <c r="B13" s="96"/>
      <c r="C13" s="96"/>
      <c r="M13" s="73"/>
      <c r="N13" s="73"/>
      <c r="O13" s="74"/>
      <c r="P13" s="74"/>
      <c r="Q13" s="74"/>
    </row>
    <row r="16" spans="1:22">
      <c r="A16" s="177" t="s">
        <v>49</v>
      </c>
      <c r="B16" s="177"/>
    </row>
    <row r="17" spans="1:16">
      <c r="A17" s="50" t="s">
        <v>48</v>
      </c>
      <c r="B17" s="50"/>
    </row>
    <row r="18" spans="1:16" ht="16" thickBot="1">
      <c r="A18" s="50" t="s">
        <v>25</v>
      </c>
      <c r="B18" s="56">
        <v>1</v>
      </c>
    </row>
    <row r="19" spans="1:16">
      <c r="A19" s="50" t="s">
        <v>26</v>
      </c>
      <c r="B19" s="56">
        <v>6</v>
      </c>
      <c r="O19" s="178" t="s">
        <v>64</v>
      </c>
      <c r="P19" s="179"/>
    </row>
    <row r="20" spans="1:16">
      <c r="O20" s="56" t="s">
        <v>62</v>
      </c>
      <c r="P20" s="56">
        <v>12</v>
      </c>
    </row>
    <row r="21" spans="1:16">
      <c r="A21" s="53" t="s">
        <v>20</v>
      </c>
      <c r="B21" s="53" t="s">
        <v>52</v>
      </c>
      <c r="C21" s="53" t="s">
        <v>65</v>
      </c>
      <c r="J21" s="180" t="s">
        <v>20</v>
      </c>
      <c r="K21" s="180"/>
      <c r="L21" s="180"/>
      <c r="O21" s="50" t="s">
        <v>63</v>
      </c>
      <c r="P21" s="68">
        <f>TIME(0,0,1/(P20/3600))</f>
        <v>3.472222222222222E-3</v>
      </c>
    </row>
    <row r="22" spans="1:16">
      <c r="A22" s="54">
        <v>1</v>
      </c>
      <c r="B22" s="57"/>
      <c r="C22" s="67">
        <f>B22*$B$18+$B$19</f>
        <v>6</v>
      </c>
      <c r="J22" s="50" t="s">
        <v>53</v>
      </c>
      <c r="K22" s="50" t="s">
        <v>54</v>
      </c>
      <c r="L22" s="56">
        <v>9.2600000000000002E-2</v>
      </c>
    </row>
    <row r="23" spans="1:16">
      <c r="A23" s="54">
        <v>1.5</v>
      </c>
      <c r="B23" s="57"/>
      <c r="C23" s="67">
        <f t="shared" ref="C23:C29" si="1">B23*$B$18+$B$19</f>
        <v>6</v>
      </c>
      <c r="K23" s="50" t="s">
        <v>55</v>
      </c>
      <c r="L23" s="56">
        <v>-0.7258</v>
      </c>
    </row>
    <row r="24" spans="1:16">
      <c r="A24" s="54">
        <v>2</v>
      </c>
      <c r="B24" s="57">
        <v>1.0640000000000001</v>
      </c>
      <c r="C24" s="67">
        <f t="shared" si="1"/>
        <v>7.0640000000000001</v>
      </c>
      <c r="K24" s="50" t="s">
        <v>56</v>
      </c>
      <c r="L24" s="56">
        <v>2.2959000000000001</v>
      </c>
      <c r="O24" s="177" t="s">
        <v>90</v>
      </c>
      <c r="P24" s="177"/>
    </row>
    <row r="25" spans="1:16">
      <c r="A25" s="54">
        <v>2.5</v>
      </c>
      <c r="B25" s="57">
        <v>1.6577</v>
      </c>
      <c r="C25" s="67">
        <f t="shared" si="1"/>
        <v>7.6577000000000002</v>
      </c>
      <c r="K25" s="50" t="s">
        <v>57</v>
      </c>
      <c r="L25" s="56">
        <v>0.26669999999999999</v>
      </c>
      <c r="O25" s="56" t="s">
        <v>91</v>
      </c>
      <c r="P25" s="56">
        <v>93</v>
      </c>
    </row>
    <row r="26" spans="1:16">
      <c r="A26" s="54">
        <v>3</v>
      </c>
      <c r="B26" s="57">
        <v>2.7069999999999999</v>
      </c>
      <c r="C26" s="67">
        <f t="shared" si="1"/>
        <v>8.7070000000000007</v>
      </c>
      <c r="O26" s="50" t="s">
        <v>47</v>
      </c>
      <c r="P26" s="110">
        <f>MAX(D3:D8)*(P25/100)</f>
        <v>160.89000000000001</v>
      </c>
    </row>
    <row r="27" spans="1:16">
      <c r="A27" s="54">
        <v>4</v>
      </c>
      <c r="B27" s="57">
        <v>4.2297000000000002</v>
      </c>
      <c r="C27" s="67">
        <f t="shared" si="1"/>
        <v>10.229700000000001</v>
      </c>
    </row>
    <row r="28" spans="1:16">
      <c r="A28" s="54">
        <v>6</v>
      </c>
      <c r="B28" s="57">
        <v>5.3680000000000003</v>
      </c>
      <c r="C28" s="67">
        <f t="shared" si="1"/>
        <v>11.368</v>
      </c>
    </row>
    <row r="29" spans="1:16">
      <c r="A29" s="54">
        <v>8</v>
      </c>
      <c r="B29" s="57">
        <v>6.0229999999999997</v>
      </c>
      <c r="C29" s="67">
        <f t="shared" si="1"/>
        <v>12.023</v>
      </c>
    </row>
    <row r="33" spans="1:3">
      <c r="A33" s="53" t="s">
        <v>73</v>
      </c>
    </row>
    <row r="34" spans="1:3">
      <c r="A34" s="53" t="s">
        <v>52</v>
      </c>
      <c r="B34" s="53" t="s">
        <v>65</v>
      </c>
      <c r="C34" s="53" t="s">
        <v>47</v>
      </c>
    </row>
    <row r="35" spans="1:3">
      <c r="A35" s="57">
        <v>4</v>
      </c>
      <c r="B35" s="67">
        <f>A35*$B$18+$B$19</f>
        <v>10</v>
      </c>
      <c r="C35" s="67">
        <f>B35*$H$2+$H$3</f>
        <v>157.93299999999999</v>
      </c>
    </row>
  </sheetData>
  <mergeCells count="14">
    <mergeCell ref="A1:D1"/>
    <mergeCell ref="M6:N6"/>
    <mergeCell ref="M7:N7"/>
    <mergeCell ref="M9:N9"/>
    <mergeCell ref="M8:N8"/>
    <mergeCell ref="M5:N5"/>
    <mergeCell ref="G1:H1"/>
    <mergeCell ref="O24:P24"/>
    <mergeCell ref="O19:P19"/>
    <mergeCell ref="J21:L21"/>
    <mergeCell ref="E2:F2"/>
    <mergeCell ref="A16:B16"/>
    <mergeCell ref="M10:N10"/>
    <mergeCell ref="M11:N11"/>
  </mergeCells>
  <phoneticPr fontId="34" type="noConversion"/>
  <pageMargins left="0.7" right="0.7" top="0.78740157499999996" bottom="0.78740157499999996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48"/>
  <sheetViews>
    <sheetView showGridLines="0" showOutlineSymbols="0" zoomScale="120" workbookViewId="0">
      <selection activeCell="D7" sqref="D7"/>
    </sheetView>
  </sheetViews>
  <sheetFormatPr baseColWidth="10" defaultColWidth="11.5" defaultRowHeight="13" outlineLevelCol="1"/>
  <cols>
    <col min="1" max="1" width="2" style="3" customWidth="1"/>
    <col min="2" max="2" width="8.1640625" style="3" customWidth="1"/>
    <col min="3" max="3" width="21.1640625" style="3" customWidth="1"/>
    <col min="4" max="4" width="15.83203125" style="3" customWidth="1"/>
    <col min="5" max="5" width="10.6640625" style="3" customWidth="1"/>
    <col min="6" max="6" width="18" style="3" hidden="1" customWidth="1" outlineLevel="1"/>
    <col min="7" max="7" width="9.83203125" style="3" hidden="1" customWidth="1" outlineLevel="1"/>
    <col min="8" max="8" width="12.6640625" style="3" hidden="1" customWidth="1" outlineLevel="1"/>
    <col min="9" max="9" width="9.1640625" style="3" customWidth="1" collapsed="1"/>
    <col min="10" max="10" width="15.83203125" style="3" customWidth="1"/>
    <col min="11" max="11" width="16.33203125" style="3" customWidth="1"/>
    <col min="12" max="12" width="15.1640625" style="3" customWidth="1"/>
    <col min="13" max="256" width="11.5" style="3"/>
    <col min="257" max="257" width="2" style="3" customWidth="1"/>
    <col min="258" max="258" width="8.1640625" style="3" customWidth="1"/>
    <col min="259" max="259" width="21.1640625" style="3" customWidth="1"/>
    <col min="260" max="260" width="15.83203125" style="3" customWidth="1"/>
    <col min="261" max="261" width="10.6640625" style="3" customWidth="1"/>
    <col min="262" max="264" width="0" style="3" hidden="1" customWidth="1"/>
    <col min="265" max="265" width="9.1640625" style="3" customWidth="1"/>
    <col min="266" max="266" width="15.83203125" style="3" customWidth="1"/>
    <col min="267" max="267" width="16.33203125" style="3" customWidth="1"/>
    <col min="268" max="268" width="15.1640625" style="3" customWidth="1"/>
    <col min="269" max="512" width="11.5" style="3"/>
    <col min="513" max="513" width="2" style="3" customWidth="1"/>
    <col min="514" max="514" width="8.1640625" style="3" customWidth="1"/>
    <col min="515" max="515" width="21.1640625" style="3" customWidth="1"/>
    <col min="516" max="516" width="15.83203125" style="3" customWidth="1"/>
    <col min="517" max="517" width="10.6640625" style="3" customWidth="1"/>
    <col min="518" max="520" width="0" style="3" hidden="1" customWidth="1"/>
    <col min="521" max="521" width="9.1640625" style="3" customWidth="1"/>
    <col min="522" max="522" width="15.83203125" style="3" customWidth="1"/>
    <col min="523" max="523" width="16.33203125" style="3" customWidth="1"/>
    <col min="524" max="524" width="15.1640625" style="3" customWidth="1"/>
    <col min="525" max="768" width="11.5" style="3"/>
    <col min="769" max="769" width="2" style="3" customWidth="1"/>
    <col min="770" max="770" width="8.1640625" style="3" customWidth="1"/>
    <col min="771" max="771" width="21.1640625" style="3" customWidth="1"/>
    <col min="772" max="772" width="15.83203125" style="3" customWidth="1"/>
    <col min="773" max="773" width="10.6640625" style="3" customWidth="1"/>
    <col min="774" max="776" width="0" style="3" hidden="1" customWidth="1"/>
    <col min="777" max="777" width="9.1640625" style="3" customWidth="1"/>
    <col min="778" max="778" width="15.83203125" style="3" customWidth="1"/>
    <col min="779" max="779" width="16.33203125" style="3" customWidth="1"/>
    <col min="780" max="780" width="15.1640625" style="3" customWidth="1"/>
    <col min="781" max="1024" width="11.5" style="3"/>
    <col min="1025" max="1025" width="2" style="3" customWidth="1"/>
    <col min="1026" max="1026" width="8.1640625" style="3" customWidth="1"/>
    <col min="1027" max="1027" width="21.1640625" style="3" customWidth="1"/>
    <col min="1028" max="1028" width="15.83203125" style="3" customWidth="1"/>
    <col min="1029" max="1029" width="10.6640625" style="3" customWidth="1"/>
    <col min="1030" max="1032" width="0" style="3" hidden="1" customWidth="1"/>
    <col min="1033" max="1033" width="9.1640625" style="3" customWidth="1"/>
    <col min="1034" max="1034" width="15.83203125" style="3" customWidth="1"/>
    <col min="1035" max="1035" width="16.33203125" style="3" customWidth="1"/>
    <col min="1036" max="1036" width="15.1640625" style="3" customWidth="1"/>
    <col min="1037" max="1280" width="11.5" style="3"/>
    <col min="1281" max="1281" width="2" style="3" customWidth="1"/>
    <col min="1282" max="1282" width="8.1640625" style="3" customWidth="1"/>
    <col min="1283" max="1283" width="21.1640625" style="3" customWidth="1"/>
    <col min="1284" max="1284" width="15.83203125" style="3" customWidth="1"/>
    <col min="1285" max="1285" width="10.6640625" style="3" customWidth="1"/>
    <col min="1286" max="1288" width="0" style="3" hidden="1" customWidth="1"/>
    <col min="1289" max="1289" width="9.1640625" style="3" customWidth="1"/>
    <col min="1290" max="1290" width="15.83203125" style="3" customWidth="1"/>
    <col min="1291" max="1291" width="16.33203125" style="3" customWidth="1"/>
    <col min="1292" max="1292" width="15.1640625" style="3" customWidth="1"/>
    <col min="1293" max="1536" width="11.5" style="3"/>
    <col min="1537" max="1537" width="2" style="3" customWidth="1"/>
    <col min="1538" max="1538" width="8.1640625" style="3" customWidth="1"/>
    <col min="1539" max="1539" width="21.1640625" style="3" customWidth="1"/>
    <col min="1540" max="1540" width="15.83203125" style="3" customWidth="1"/>
    <col min="1541" max="1541" width="10.6640625" style="3" customWidth="1"/>
    <col min="1542" max="1544" width="0" style="3" hidden="1" customWidth="1"/>
    <col min="1545" max="1545" width="9.1640625" style="3" customWidth="1"/>
    <col min="1546" max="1546" width="15.83203125" style="3" customWidth="1"/>
    <col min="1547" max="1547" width="16.33203125" style="3" customWidth="1"/>
    <col min="1548" max="1548" width="15.1640625" style="3" customWidth="1"/>
    <col min="1549" max="1792" width="11.5" style="3"/>
    <col min="1793" max="1793" width="2" style="3" customWidth="1"/>
    <col min="1794" max="1794" width="8.1640625" style="3" customWidth="1"/>
    <col min="1795" max="1795" width="21.1640625" style="3" customWidth="1"/>
    <col min="1796" max="1796" width="15.83203125" style="3" customWidth="1"/>
    <col min="1797" max="1797" width="10.6640625" style="3" customWidth="1"/>
    <col min="1798" max="1800" width="0" style="3" hidden="1" customWidth="1"/>
    <col min="1801" max="1801" width="9.1640625" style="3" customWidth="1"/>
    <col min="1802" max="1802" width="15.83203125" style="3" customWidth="1"/>
    <col min="1803" max="1803" width="16.33203125" style="3" customWidth="1"/>
    <col min="1804" max="1804" width="15.1640625" style="3" customWidth="1"/>
    <col min="1805" max="2048" width="11.5" style="3"/>
    <col min="2049" max="2049" width="2" style="3" customWidth="1"/>
    <col min="2050" max="2050" width="8.1640625" style="3" customWidth="1"/>
    <col min="2051" max="2051" width="21.1640625" style="3" customWidth="1"/>
    <col min="2052" max="2052" width="15.83203125" style="3" customWidth="1"/>
    <col min="2053" max="2053" width="10.6640625" style="3" customWidth="1"/>
    <col min="2054" max="2056" width="0" style="3" hidden="1" customWidth="1"/>
    <col min="2057" max="2057" width="9.1640625" style="3" customWidth="1"/>
    <col min="2058" max="2058" width="15.83203125" style="3" customWidth="1"/>
    <col min="2059" max="2059" width="16.33203125" style="3" customWidth="1"/>
    <col min="2060" max="2060" width="15.1640625" style="3" customWidth="1"/>
    <col min="2061" max="2304" width="11.5" style="3"/>
    <col min="2305" max="2305" width="2" style="3" customWidth="1"/>
    <col min="2306" max="2306" width="8.1640625" style="3" customWidth="1"/>
    <col min="2307" max="2307" width="21.1640625" style="3" customWidth="1"/>
    <col min="2308" max="2308" width="15.83203125" style="3" customWidth="1"/>
    <col min="2309" max="2309" width="10.6640625" style="3" customWidth="1"/>
    <col min="2310" max="2312" width="0" style="3" hidden="1" customWidth="1"/>
    <col min="2313" max="2313" width="9.1640625" style="3" customWidth="1"/>
    <col min="2314" max="2314" width="15.83203125" style="3" customWidth="1"/>
    <col min="2315" max="2315" width="16.33203125" style="3" customWidth="1"/>
    <col min="2316" max="2316" width="15.1640625" style="3" customWidth="1"/>
    <col min="2317" max="2560" width="11.5" style="3"/>
    <col min="2561" max="2561" width="2" style="3" customWidth="1"/>
    <col min="2562" max="2562" width="8.1640625" style="3" customWidth="1"/>
    <col min="2563" max="2563" width="21.1640625" style="3" customWidth="1"/>
    <col min="2564" max="2564" width="15.83203125" style="3" customWidth="1"/>
    <col min="2565" max="2565" width="10.6640625" style="3" customWidth="1"/>
    <col min="2566" max="2568" width="0" style="3" hidden="1" customWidth="1"/>
    <col min="2569" max="2569" width="9.1640625" style="3" customWidth="1"/>
    <col min="2570" max="2570" width="15.83203125" style="3" customWidth="1"/>
    <col min="2571" max="2571" width="16.33203125" style="3" customWidth="1"/>
    <col min="2572" max="2572" width="15.1640625" style="3" customWidth="1"/>
    <col min="2573" max="2816" width="11.5" style="3"/>
    <col min="2817" max="2817" width="2" style="3" customWidth="1"/>
    <col min="2818" max="2818" width="8.1640625" style="3" customWidth="1"/>
    <col min="2819" max="2819" width="21.1640625" style="3" customWidth="1"/>
    <col min="2820" max="2820" width="15.83203125" style="3" customWidth="1"/>
    <col min="2821" max="2821" width="10.6640625" style="3" customWidth="1"/>
    <col min="2822" max="2824" width="0" style="3" hidden="1" customWidth="1"/>
    <col min="2825" max="2825" width="9.1640625" style="3" customWidth="1"/>
    <col min="2826" max="2826" width="15.83203125" style="3" customWidth="1"/>
    <col min="2827" max="2827" width="16.33203125" style="3" customWidth="1"/>
    <col min="2828" max="2828" width="15.1640625" style="3" customWidth="1"/>
    <col min="2829" max="3072" width="11.5" style="3"/>
    <col min="3073" max="3073" width="2" style="3" customWidth="1"/>
    <col min="3074" max="3074" width="8.1640625" style="3" customWidth="1"/>
    <col min="3075" max="3075" width="21.1640625" style="3" customWidth="1"/>
    <col min="3076" max="3076" width="15.83203125" style="3" customWidth="1"/>
    <col min="3077" max="3077" width="10.6640625" style="3" customWidth="1"/>
    <col min="3078" max="3080" width="0" style="3" hidden="1" customWidth="1"/>
    <col min="3081" max="3081" width="9.1640625" style="3" customWidth="1"/>
    <col min="3082" max="3082" width="15.83203125" style="3" customWidth="1"/>
    <col min="3083" max="3083" width="16.33203125" style="3" customWidth="1"/>
    <col min="3084" max="3084" width="15.1640625" style="3" customWidth="1"/>
    <col min="3085" max="3328" width="11.5" style="3"/>
    <col min="3329" max="3329" width="2" style="3" customWidth="1"/>
    <col min="3330" max="3330" width="8.1640625" style="3" customWidth="1"/>
    <col min="3331" max="3331" width="21.1640625" style="3" customWidth="1"/>
    <col min="3332" max="3332" width="15.83203125" style="3" customWidth="1"/>
    <col min="3333" max="3333" width="10.6640625" style="3" customWidth="1"/>
    <col min="3334" max="3336" width="0" style="3" hidden="1" customWidth="1"/>
    <col min="3337" max="3337" width="9.1640625" style="3" customWidth="1"/>
    <col min="3338" max="3338" width="15.83203125" style="3" customWidth="1"/>
    <col min="3339" max="3339" width="16.33203125" style="3" customWidth="1"/>
    <col min="3340" max="3340" width="15.1640625" style="3" customWidth="1"/>
    <col min="3341" max="3584" width="11.5" style="3"/>
    <col min="3585" max="3585" width="2" style="3" customWidth="1"/>
    <col min="3586" max="3586" width="8.1640625" style="3" customWidth="1"/>
    <col min="3587" max="3587" width="21.1640625" style="3" customWidth="1"/>
    <col min="3588" max="3588" width="15.83203125" style="3" customWidth="1"/>
    <col min="3589" max="3589" width="10.6640625" style="3" customWidth="1"/>
    <col min="3590" max="3592" width="0" style="3" hidden="1" customWidth="1"/>
    <col min="3593" max="3593" width="9.1640625" style="3" customWidth="1"/>
    <col min="3594" max="3594" width="15.83203125" style="3" customWidth="1"/>
    <col min="3595" max="3595" width="16.33203125" style="3" customWidth="1"/>
    <col min="3596" max="3596" width="15.1640625" style="3" customWidth="1"/>
    <col min="3597" max="3840" width="11.5" style="3"/>
    <col min="3841" max="3841" width="2" style="3" customWidth="1"/>
    <col min="3842" max="3842" width="8.1640625" style="3" customWidth="1"/>
    <col min="3843" max="3843" width="21.1640625" style="3" customWidth="1"/>
    <col min="3844" max="3844" width="15.83203125" style="3" customWidth="1"/>
    <col min="3845" max="3845" width="10.6640625" style="3" customWidth="1"/>
    <col min="3846" max="3848" width="0" style="3" hidden="1" customWidth="1"/>
    <col min="3849" max="3849" width="9.1640625" style="3" customWidth="1"/>
    <col min="3850" max="3850" width="15.83203125" style="3" customWidth="1"/>
    <col min="3851" max="3851" width="16.33203125" style="3" customWidth="1"/>
    <col min="3852" max="3852" width="15.1640625" style="3" customWidth="1"/>
    <col min="3853" max="4096" width="11.5" style="3"/>
    <col min="4097" max="4097" width="2" style="3" customWidth="1"/>
    <col min="4098" max="4098" width="8.1640625" style="3" customWidth="1"/>
    <col min="4099" max="4099" width="21.1640625" style="3" customWidth="1"/>
    <col min="4100" max="4100" width="15.83203125" style="3" customWidth="1"/>
    <col min="4101" max="4101" width="10.6640625" style="3" customWidth="1"/>
    <col min="4102" max="4104" width="0" style="3" hidden="1" customWidth="1"/>
    <col min="4105" max="4105" width="9.1640625" style="3" customWidth="1"/>
    <col min="4106" max="4106" width="15.83203125" style="3" customWidth="1"/>
    <col min="4107" max="4107" width="16.33203125" style="3" customWidth="1"/>
    <col min="4108" max="4108" width="15.1640625" style="3" customWidth="1"/>
    <col min="4109" max="4352" width="11.5" style="3"/>
    <col min="4353" max="4353" width="2" style="3" customWidth="1"/>
    <col min="4354" max="4354" width="8.1640625" style="3" customWidth="1"/>
    <col min="4355" max="4355" width="21.1640625" style="3" customWidth="1"/>
    <col min="4356" max="4356" width="15.83203125" style="3" customWidth="1"/>
    <col min="4357" max="4357" width="10.6640625" style="3" customWidth="1"/>
    <col min="4358" max="4360" width="0" style="3" hidden="1" customWidth="1"/>
    <col min="4361" max="4361" width="9.1640625" style="3" customWidth="1"/>
    <col min="4362" max="4362" width="15.83203125" style="3" customWidth="1"/>
    <col min="4363" max="4363" width="16.33203125" style="3" customWidth="1"/>
    <col min="4364" max="4364" width="15.1640625" style="3" customWidth="1"/>
    <col min="4365" max="4608" width="11.5" style="3"/>
    <col min="4609" max="4609" width="2" style="3" customWidth="1"/>
    <col min="4610" max="4610" width="8.1640625" style="3" customWidth="1"/>
    <col min="4611" max="4611" width="21.1640625" style="3" customWidth="1"/>
    <col min="4612" max="4612" width="15.83203125" style="3" customWidth="1"/>
    <col min="4613" max="4613" width="10.6640625" style="3" customWidth="1"/>
    <col min="4614" max="4616" width="0" style="3" hidden="1" customWidth="1"/>
    <col min="4617" max="4617" width="9.1640625" style="3" customWidth="1"/>
    <col min="4618" max="4618" width="15.83203125" style="3" customWidth="1"/>
    <col min="4619" max="4619" width="16.33203125" style="3" customWidth="1"/>
    <col min="4620" max="4620" width="15.1640625" style="3" customWidth="1"/>
    <col min="4621" max="4864" width="11.5" style="3"/>
    <col min="4865" max="4865" width="2" style="3" customWidth="1"/>
    <col min="4866" max="4866" width="8.1640625" style="3" customWidth="1"/>
    <col min="4867" max="4867" width="21.1640625" style="3" customWidth="1"/>
    <col min="4868" max="4868" width="15.83203125" style="3" customWidth="1"/>
    <col min="4869" max="4869" width="10.6640625" style="3" customWidth="1"/>
    <col min="4870" max="4872" width="0" style="3" hidden="1" customWidth="1"/>
    <col min="4873" max="4873" width="9.1640625" style="3" customWidth="1"/>
    <col min="4874" max="4874" width="15.83203125" style="3" customWidth="1"/>
    <col min="4875" max="4875" width="16.33203125" style="3" customWidth="1"/>
    <col min="4876" max="4876" width="15.1640625" style="3" customWidth="1"/>
    <col min="4877" max="5120" width="11.5" style="3"/>
    <col min="5121" max="5121" width="2" style="3" customWidth="1"/>
    <col min="5122" max="5122" width="8.1640625" style="3" customWidth="1"/>
    <col min="5123" max="5123" width="21.1640625" style="3" customWidth="1"/>
    <col min="5124" max="5124" width="15.83203125" style="3" customWidth="1"/>
    <col min="5125" max="5125" width="10.6640625" style="3" customWidth="1"/>
    <col min="5126" max="5128" width="0" style="3" hidden="1" customWidth="1"/>
    <col min="5129" max="5129" width="9.1640625" style="3" customWidth="1"/>
    <col min="5130" max="5130" width="15.83203125" style="3" customWidth="1"/>
    <col min="5131" max="5131" width="16.33203125" style="3" customWidth="1"/>
    <col min="5132" max="5132" width="15.1640625" style="3" customWidth="1"/>
    <col min="5133" max="5376" width="11.5" style="3"/>
    <col min="5377" max="5377" width="2" style="3" customWidth="1"/>
    <col min="5378" max="5378" width="8.1640625" style="3" customWidth="1"/>
    <col min="5379" max="5379" width="21.1640625" style="3" customWidth="1"/>
    <col min="5380" max="5380" width="15.83203125" style="3" customWidth="1"/>
    <col min="5381" max="5381" width="10.6640625" style="3" customWidth="1"/>
    <col min="5382" max="5384" width="0" style="3" hidden="1" customWidth="1"/>
    <col min="5385" max="5385" width="9.1640625" style="3" customWidth="1"/>
    <col min="5386" max="5386" width="15.83203125" style="3" customWidth="1"/>
    <col min="5387" max="5387" width="16.33203125" style="3" customWidth="1"/>
    <col min="5388" max="5388" width="15.1640625" style="3" customWidth="1"/>
    <col min="5389" max="5632" width="11.5" style="3"/>
    <col min="5633" max="5633" width="2" style="3" customWidth="1"/>
    <col min="5634" max="5634" width="8.1640625" style="3" customWidth="1"/>
    <col min="5635" max="5635" width="21.1640625" style="3" customWidth="1"/>
    <col min="5636" max="5636" width="15.83203125" style="3" customWidth="1"/>
    <col min="5637" max="5637" width="10.6640625" style="3" customWidth="1"/>
    <col min="5638" max="5640" width="0" style="3" hidden="1" customWidth="1"/>
    <col min="5641" max="5641" width="9.1640625" style="3" customWidth="1"/>
    <col min="5642" max="5642" width="15.83203125" style="3" customWidth="1"/>
    <col min="5643" max="5643" width="16.33203125" style="3" customWidth="1"/>
    <col min="5644" max="5644" width="15.1640625" style="3" customWidth="1"/>
    <col min="5645" max="5888" width="11.5" style="3"/>
    <col min="5889" max="5889" width="2" style="3" customWidth="1"/>
    <col min="5890" max="5890" width="8.1640625" style="3" customWidth="1"/>
    <col min="5891" max="5891" width="21.1640625" style="3" customWidth="1"/>
    <col min="5892" max="5892" width="15.83203125" style="3" customWidth="1"/>
    <col min="5893" max="5893" width="10.6640625" style="3" customWidth="1"/>
    <col min="5894" max="5896" width="0" style="3" hidden="1" customWidth="1"/>
    <col min="5897" max="5897" width="9.1640625" style="3" customWidth="1"/>
    <col min="5898" max="5898" width="15.83203125" style="3" customWidth="1"/>
    <col min="5899" max="5899" width="16.33203125" style="3" customWidth="1"/>
    <col min="5900" max="5900" width="15.1640625" style="3" customWidth="1"/>
    <col min="5901" max="6144" width="11.5" style="3"/>
    <col min="6145" max="6145" width="2" style="3" customWidth="1"/>
    <col min="6146" max="6146" width="8.1640625" style="3" customWidth="1"/>
    <col min="6147" max="6147" width="21.1640625" style="3" customWidth="1"/>
    <col min="6148" max="6148" width="15.83203125" style="3" customWidth="1"/>
    <col min="6149" max="6149" width="10.6640625" style="3" customWidth="1"/>
    <col min="6150" max="6152" width="0" style="3" hidden="1" customWidth="1"/>
    <col min="6153" max="6153" width="9.1640625" style="3" customWidth="1"/>
    <col min="6154" max="6154" width="15.83203125" style="3" customWidth="1"/>
    <col min="6155" max="6155" width="16.33203125" style="3" customWidth="1"/>
    <col min="6156" max="6156" width="15.1640625" style="3" customWidth="1"/>
    <col min="6157" max="6400" width="11.5" style="3"/>
    <col min="6401" max="6401" width="2" style="3" customWidth="1"/>
    <col min="6402" max="6402" width="8.1640625" style="3" customWidth="1"/>
    <col min="6403" max="6403" width="21.1640625" style="3" customWidth="1"/>
    <col min="6404" max="6404" width="15.83203125" style="3" customWidth="1"/>
    <col min="6405" max="6405" width="10.6640625" style="3" customWidth="1"/>
    <col min="6406" max="6408" width="0" style="3" hidden="1" customWidth="1"/>
    <col min="6409" max="6409" width="9.1640625" style="3" customWidth="1"/>
    <col min="6410" max="6410" width="15.83203125" style="3" customWidth="1"/>
    <col min="6411" max="6411" width="16.33203125" style="3" customWidth="1"/>
    <col min="6412" max="6412" width="15.1640625" style="3" customWidth="1"/>
    <col min="6413" max="6656" width="11.5" style="3"/>
    <col min="6657" max="6657" width="2" style="3" customWidth="1"/>
    <col min="6658" max="6658" width="8.1640625" style="3" customWidth="1"/>
    <col min="6659" max="6659" width="21.1640625" style="3" customWidth="1"/>
    <col min="6660" max="6660" width="15.83203125" style="3" customWidth="1"/>
    <col min="6661" max="6661" width="10.6640625" style="3" customWidth="1"/>
    <col min="6662" max="6664" width="0" style="3" hidden="1" customWidth="1"/>
    <col min="6665" max="6665" width="9.1640625" style="3" customWidth="1"/>
    <col min="6666" max="6666" width="15.83203125" style="3" customWidth="1"/>
    <col min="6667" max="6667" width="16.33203125" style="3" customWidth="1"/>
    <col min="6668" max="6668" width="15.1640625" style="3" customWidth="1"/>
    <col min="6669" max="6912" width="11.5" style="3"/>
    <col min="6913" max="6913" width="2" style="3" customWidth="1"/>
    <col min="6914" max="6914" width="8.1640625" style="3" customWidth="1"/>
    <col min="6915" max="6915" width="21.1640625" style="3" customWidth="1"/>
    <col min="6916" max="6916" width="15.83203125" style="3" customWidth="1"/>
    <col min="6917" max="6917" width="10.6640625" style="3" customWidth="1"/>
    <col min="6918" max="6920" width="0" style="3" hidden="1" customWidth="1"/>
    <col min="6921" max="6921" width="9.1640625" style="3" customWidth="1"/>
    <col min="6922" max="6922" width="15.83203125" style="3" customWidth="1"/>
    <col min="6923" max="6923" width="16.33203125" style="3" customWidth="1"/>
    <col min="6924" max="6924" width="15.1640625" style="3" customWidth="1"/>
    <col min="6925" max="7168" width="11.5" style="3"/>
    <col min="7169" max="7169" width="2" style="3" customWidth="1"/>
    <col min="7170" max="7170" width="8.1640625" style="3" customWidth="1"/>
    <col min="7171" max="7171" width="21.1640625" style="3" customWidth="1"/>
    <col min="7172" max="7172" width="15.83203125" style="3" customWidth="1"/>
    <col min="7173" max="7173" width="10.6640625" style="3" customWidth="1"/>
    <col min="7174" max="7176" width="0" style="3" hidden="1" customWidth="1"/>
    <col min="7177" max="7177" width="9.1640625" style="3" customWidth="1"/>
    <col min="7178" max="7178" width="15.83203125" style="3" customWidth="1"/>
    <col min="7179" max="7179" width="16.33203125" style="3" customWidth="1"/>
    <col min="7180" max="7180" width="15.1640625" style="3" customWidth="1"/>
    <col min="7181" max="7424" width="11.5" style="3"/>
    <col min="7425" max="7425" width="2" style="3" customWidth="1"/>
    <col min="7426" max="7426" width="8.1640625" style="3" customWidth="1"/>
    <col min="7427" max="7427" width="21.1640625" style="3" customWidth="1"/>
    <col min="7428" max="7428" width="15.83203125" style="3" customWidth="1"/>
    <col min="7429" max="7429" width="10.6640625" style="3" customWidth="1"/>
    <col min="7430" max="7432" width="0" style="3" hidden="1" customWidth="1"/>
    <col min="7433" max="7433" width="9.1640625" style="3" customWidth="1"/>
    <col min="7434" max="7434" width="15.83203125" style="3" customWidth="1"/>
    <col min="7435" max="7435" width="16.33203125" style="3" customWidth="1"/>
    <col min="7436" max="7436" width="15.1640625" style="3" customWidth="1"/>
    <col min="7437" max="7680" width="11.5" style="3"/>
    <col min="7681" max="7681" width="2" style="3" customWidth="1"/>
    <col min="7682" max="7682" width="8.1640625" style="3" customWidth="1"/>
    <col min="7683" max="7683" width="21.1640625" style="3" customWidth="1"/>
    <col min="7684" max="7684" width="15.83203125" style="3" customWidth="1"/>
    <col min="7685" max="7685" width="10.6640625" style="3" customWidth="1"/>
    <col min="7686" max="7688" width="0" style="3" hidden="1" customWidth="1"/>
    <col min="7689" max="7689" width="9.1640625" style="3" customWidth="1"/>
    <col min="7690" max="7690" width="15.83203125" style="3" customWidth="1"/>
    <col min="7691" max="7691" width="16.33203125" style="3" customWidth="1"/>
    <col min="7692" max="7692" width="15.1640625" style="3" customWidth="1"/>
    <col min="7693" max="7936" width="11.5" style="3"/>
    <col min="7937" max="7937" width="2" style="3" customWidth="1"/>
    <col min="7938" max="7938" width="8.1640625" style="3" customWidth="1"/>
    <col min="7939" max="7939" width="21.1640625" style="3" customWidth="1"/>
    <col min="7940" max="7940" width="15.83203125" style="3" customWidth="1"/>
    <col min="7941" max="7941" width="10.6640625" style="3" customWidth="1"/>
    <col min="7942" max="7944" width="0" style="3" hidden="1" customWidth="1"/>
    <col min="7945" max="7945" width="9.1640625" style="3" customWidth="1"/>
    <col min="7946" max="7946" width="15.83203125" style="3" customWidth="1"/>
    <col min="7947" max="7947" width="16.33203125" style="3" customWidth="1"/>
    <col min="7948" max="7948" width="15.1640625" style="3" customWidth="1"/>
    <col min="7949" max="8192" width="11.5" style="3"/>
    <col min="8193" max="8193" width="2" style="3" customWidth="1"/>
    <col min="8194" max="8194" width="8.1640625" style="3" customWidth="1"/>
    <col min="8195" max="8195" width="21.1640625" style="3" customWidth="1"/>
    <col min="8196" max="8196" width="15.83203125" style="3" customWidth="1"/>
    <col min="8197" max="8197" width="10.6640625" style="3" customWidth="1"/>
    <col min="8198" max="8200" width="0" style="3" hidden="1" customWidth="1"/>
    <col min="8201" max="8201" width="9.1640625" style="3" customWidth="1"/>
    <col min="8202" max="8202" width="15.83203125" style="3" customWidth="1"/>
    <col min="8203" max="8203" width="16.33203125" style="3" customWidth="1"/>
    <col min="8204" max="8204" width="15.1640625" style="3" customWidth="1"/>
    <col min="8205" max="8448" width="11.5" style="3"/>
    <col min="8449" max="8449" width="2" style="3" customWidth="1"/>
    <col min="8450" max="8450" width="8.1640625" style="3" customWidth="1"/>
    <col min="8451" max="8451" width="21.1640625" style="3" customWidth="1"/>
    <col min="8452" max="8452" width="15.83203125" style="3" customWidth="1"/>
    <col min="8453" max="8453" width="10.6640625" style="3" customWidth="1"/>
    <col min="8454" max="8456" width="0" style="3" hidden="1" customWidth="1"/>
    <col min="8457" max="8457" width="9.1640625" style="3" customWidth="1"/>
    <col min="8458" max="8458" width="15.83203125" style="3" customWidth="1"/>
    <col min="8459" max="8459" width="16.33203125" style="3" customWidth="1"/>
    <col min="8460" max="8460" width="15.1640625" style="3" customWidth="1"/>
    <col min="8461" max="8704" width="11.5" style="3"/>
    <col min="8705" max="8705" width="2" style="3" customWidth="1"/>
    <col min="8706" max="8706" width="8.1640625" style="3" customWidth="1"/>
    <col min="8707" max="8707" width="21.1640625" style="3" customWidth="1"/>
    <col min="8708" max="8708" width="15.83203125" style="3" customWidth="1"/>
    <col min="8709" max="8709" width="10.6640625" style="3" customWidth="1"/>
    <col min="8710" max="8712" width="0" style="3" hidden="1" customWidth="1"/>
    <col min="8713" max="8713" width="9.1640625" style="3" customWidth="1"/>
    <col min="8714" max="8714" width="15.83203125" style="3" customWidth="1"/>
    <col min="8715" max="8715" width="16.33203125" style="3" customWidth="1"/>
    <col min="8716" max="8716" width="15.1640625" style="3" customWidth="1"/>
    <col min="8717" max="8960" width="11.5" style="3"/>
    <col min="8961" max="8961" width="2" style="3" customWidth="1"/>
    <col min="8962" max="8962" width="8.1640625" style="3" customWidth="1"/>
    <col min="8963" max="8963" width="21.1640625" style="3" customWidth="1"/>
    <col min="8964" max="8964" width="15.83203125" style="3" customWidth="1"/>
    <col min="8965" max="8965" width="10.6640625" style="3" customWidth="1"/>
    <col min="8966" max="8968" width="0" style="3" hidden="1" customWidth="1"/>
    <col min="8969" max="8969" width="9.1640625" style="3" customWidth="1"/>
    <col min="8970" max="8970" width="15.83203125" style="3" customWidth="1"/>
    <col min="8971" max="8971" width="16.33203125" style="3" customWidth="1"/>
    <col min="8972" max="8972" width="15.1640625" style="3" customWidth="1"/>
    <col min="8973" max="9216" width="11.5" style="3"/>
    <col min="9217" max="9217" width="2" style="3" customWidth="1"/>
    <col min="9218" max="9218" width="8.1640625" style="3" customWidth="1"/>
    <col min="9219" max="9219" width="21.1640625" style="3" customWidth="1"/>
    <col min="9220" max="9220" width="15.83203125" style="3" customWidth="1"/>
    <col min="9221" max="9221" width="10.6640625" style="3" customWidth="1"/>
    <col min="9222" max="9224" width="0" style="3" hidden="1" customWidth="1"/>
    <col min="9225" max="9225" width="9.1640625" style="3" customWidth="1"/>
    <col min="9226" max="9226" width="15.83203125" style="3" customWidth="1"/>
    <col min="9227" max="9227" width="16.33203125" style="3" customWidth="1"/>
    <col min="9228" max="9228" width="15.1640625" style="3" customWidth="1"/>
    <col min="9229" max="9472" width="11.5" style="3"/>
    <col min="9473" max="9473" width="2" style="3" customWidth="1"/>
    <col min="9474" max="9474" width="8.1640625" style="3" customWidth="1"/>
    <col min="9475" max="9475" width="21.1640625" style="3" customWidth="1"/>
    <col min="9476" max="9476" width="15.83203125" style="3" customWidth="1"/>
    <col min="9477" max="9477" width="10.6640625" style="3" customWidth="1"/>
    <col min="9478" max="9480" width="0" style="3" hidden="1" customWidth="1"/>
    <col min="9481" max="9481" width="9.1640625" style="3" customWidth="1"/>
    <col min="9482" max="9482" width="15.83203125" style="3" customWidth="1"/>
    <col min="9483" max="9483" width="16.33203125" style="3" customWidth="1"/>
    <col min="9484" max="9484" width="15.1640625" style="3" customWidth="1"/>
    <col min="9485" max="9728" width="11.5" style="3"/>
    <col min="9729" max="9729" width="2" style="3" customWidth="1"/>
    <col min="9730" max="9730" width="8.1640625" style="3" customWidth="1"/>
    <col min="9731" max="9731" width="21.1640625" style="3" customWidth="1"/>
    <col min="9732" max="9732" width="15.83203125" style="3" customWidth="1"/>
    <col min="9733" max="9733" width="10.6640625" style="3" customWidth="1"/>
    <col min="9734" max="9736" width="0" style="3" hidden="1" customWidth="1"/>
    <col min="9737" max="9737" width="9.1640625" style="3" customWidth="1"/>
    <col min="9738" max="9738" width="15.83203125" style="3" customWidth="1"/>
    <col min="9739" max="9739" width="16.33203125" style="3" customWidth="1"/>
    <col min="9740" max="9740" width="15.1640625" style="3" customWidth="1"/>
    <col min="9741" max="9984" width="11.5" style="3"/>
    <col min="9985" max="9985" width="2" style="3" customWidth="1"/>
    <col min="9986" max="9986" width="8.1640625" style="3" customWidth="1"/>
    <col min="9987" max="9987" width="21.1640625" style="3" customWidth="1"/>
    <col min="9988" max="9988" width="15.83203125" style="3" customWidth="1"/>
    <col min="9989" max="9989" width="10.6640625" style="3" customWidth="1"/>
    <col min="9990" max="9992" width="0" style="3" hidden="1" customWidth="1"/>
    <col min="9993" max="9993" width="9.1640625" style="3" customWidth="1"/>
    <col min="9994" max="9994" width="15.83203125" style="3" customWidth="1"/>
    <col min="9995" max="9995" width="16.33203125" style="3" customWidth="1"/>
    <col min="9996" max="9996" width="15.1640625" style="3" customWidth="1"/>
    <col min="9997" max="10240" width="11.5" style="3"/>
    <col min="10241" max="10241" width="2" style="3" customWidth="1"/>
    <col min="10242" max="10242" width="8.1640625" style="3" customWidth="1"/>
    <col min="10243" max="10243" width="21.1640625" style="3" customWidth="1"/>
    <col min="10244" max="10244" width="15.83203125" style="3" customWidth="1"/>
    <col min="10245" max="10245" width="10.6640625" style="3" customWidth="1"/>
    <col min="10246" max="10248" width="0" style="3" hidden="1" customWidth="1"/>
    <col min="10249" max="10249" width="9.1640625" style="3" customWidth="1"/>
    <col min="10250" max="10250" width="15.83203125" style="3" customWidth="1"/>
    <col min="10251" max="10251" width="16.33203125" style="3" customWidth="1"/>
    <col min="10252" max="10252" width="15.1640625" style="3" customWidth="1"/>
    <col min="10253" max="10496" width="11.5" style="3"/>
    <col min="10497" max="10497" width="2" style="3" customWidth="1"/>
    <col min="10498" max="10498" width="8.1640625" style="3" customWidth="1"/>
    <col min="10499" max="10499" width="21.1640625" style="3" customWidth="1"/>
    <col min="10500" max="10500" width="15.83203125" style="3" customWidth="1"/>
    <col min="10501" max="10501" width="10.6640625" style="3" customWidth="1"/>
    <col min="10502" max="10504" width="0" style="3" hidden="1" customWidth="1"/>
    <col min="10505" max="10505" width="9.1640625" style="3" customWidth="1"/>
    <col min="10506" max="10506" width="15.83203125" style="3" customWidth="1"/>
    <col min="10507" max="10507" width="16.33203125" style="3" customWidth="1"/>
    <col min="10508" max="10508" width="15.1640625" style="3" customWidth="1"/>
    <col min="10509" max="10752" width="11.5" style="3"/>
    <col min="10753" max="10753" width="2" style="3" customWidth="1"/>
    <col min="10754" max="10754" width="8.1640625" style="3" customWidth="1"/>
    <col min="10755" max="10755" width="21.1640625" style="3" customWidth="1"/>
    <col min="10756" max="10756" width="15.83203125" style="3" customWidth="1"/>
    <col min="10757" max="10757" width="10.6640625" style="3" customWidth="1"/>
    <col min="10758" max="10760" width="0" style="3" hidden="1" customWidth="1"/>
    <col min="10761" max="10761" width="9.1640625" style="3" customWidth="1"/>
    <col min="10762" max="10762" width="15.83203125" style="3" customWidth="1"/>
    <col min="10763" max="10763" width="16.33203125" style="3" customWidth="1"/>
    <col min="10764" max="10764" width="15.1640625" style="3" customWidth="1"/>
    <col min="10765" max="11008" width="11.5" style="3"/>
    <col min="11009" max="11009" width="2" style="3" customWidth="1"/>
    <col min="11010" max="11010" width="8.1640625" style="3" customWidth="1"/>
    <col min="11011" max="11011" width="21.1640625" style="3" customWidth="1"/>
    <col min="11012" max="11012" width="15.83203125" style="3" customWidth="1"/>
    <col min="11013" max="11013" width="10.6640625" style="3" customWidth="1"/>
    <col min="11014" max="11016" width="0" style="3" hidden="1" customWidth="1"/>
    <col min="11017" max="11017" width="9.1640625" style="3" customWidth="1"/>
    <col min="11018" max="11018" width="15.83203125" style="3" customWidth="1"/>
    <col min="11019" max="11019" width="16.33203125" style="3" customWidth="1"/>
    <col min="11020" max="11020" width="15.1640625" style="3" customWidth="1"/>
    <col min="11021" max="11264" width="11.5" style="3"/>
    <col min="11265" max="11265" width="2" style="3" customWidth="1"/>
    <col min="11266" max="11266" width="8.1640625" style="3" customWidth="1"/>
    <col min="11267" max="11267" width="21.1640625" style="3" customWidth="1"/>
    <col min="11268" max="11268" width="15.83203125" style="3" customWidth="1"/>
    <col min="11269" max="11269" width="10.6640625" style="3" customWidth="1"/>
    <col min="11270" max="11272" width="0" style="3" hidden="1" customWidth="1"/>
    <col min="11273" max="11273" width="9.1640625" style="3" customWidth="1"/>
    <col min="11274" max="11274" width="15.83203125" style="3" customWidth="1"/>
    <col min="11275" max="11275" width="16.33203125" style="3" customWidth="1"/>
    <col min="11276" max="11276" width="15.1640625" style="3" customWidth="1"/>
    <col min="11277" max="11520" width="11.5" style="3"/>
    <col min="11521" max="11521" width="2" style="3" customWidth="1"/>
    <col min="11522" max="11522" width="8.1640625" style="3" customWidth="1"/>
    <col min="11523" max="11523" width="21.1640625" style="3" customWidth="1"/>
    <col min="11524" max="11524" width="15.83203125" style="3" customWidth="1"/>
    <col min="11525" max="11525" width="10.6640625" style="3" customWidth="1"/>
    <col min="11526" max="11528" width="0" style="3" hidden="1" customWidth="1"/>
    <col min="11529" max="11529" width="9.1640625" style="3" customWidth="1"/>
    <col min="11530" max="11530" width="15.83203125" style="3" customWidth="1"/>
    <col min="11531" max="11531" width="16.33203125" style="3" customWidth="1"/>
    <col min="11532" max="11532" width="15.1640625" style="3" customWidth="1"/>
    <col min="11533" max="11776" width="11.5" style="3"/>
    <col min="11777" max="11777" width="2" style="3" customWidth="1"/>
    <col min="11778" max="11778" width="8.1640625" style="3" customWidth="1"/>
    <col min="11779" max="11779" width="21.1640625" style="3" customWidth="1"/>
    <col min="11780" max="11780" width="15.83203125" style="3" customWidth="1"/>
    <col min="11781" max="11781" width="10.6640625" style="3" customWidth="1"/>
    <col min="11782" max="11784" width="0" style="3" hidden="1" customWidth="1"/>
    <col min="11785" max="11785" width="9.1640625" style="3" customWidth="1"/>
    <col min="11786" max="11786" width="15.83203125" style="3" customWidth="1"/>
    <col min="11787" max="11787" width="16.33203125" style="3" customWidth="1"/>
    <col min="11788" max="11788" width="15.1640625" style="3" customWidth="1"/>
    <col min="11789" max="12032" width="11.5" style="3"/>
    <col min="12033" max="12033" width="2" style="3" customWidth="1"/>
    <col min="12034" max="12034" width="8.1640625" style="3" customWidth="1"/>
    <col min="12035" max="12035" width="21.1640625" style="3" customWidth="1"/>
    <col min="12036" max="12036" width="15.83203125" style="3" customWidth="1"/>
    <col min="12037" max="12037" width="10.6640625" style="3" customWidth="1"/>
    <col min="12038" max="12040" width="0" style="3" hidden="1" customWidth="1"/>
    <col min="12041" max="12041" width="9.1640625" style="3" customWidth="1"/>
    <col min="12042" max="12042" width="15.83203125" style="3" customWidth="1"/>
    <col min="12043" max="12043" width="16.33203125" style="3" customWidth="1"/>
    <col min="12044" max="12044" width="15.1640625" style="3" customWidth="1"/>
    <col min="12045" max="12288" width="11.5" style="3"/>
    <col min="12289" max="12289" width="2" style="3" customWidth="1"/>
    <col min="12290" max="12290" width="8.1640625" style="3" customWidth="1"/>
    <col min="12291" max="12291" width="21.1640625" style="3" customWidth="1"/>
    <col min="12292" max="12292" width="15.83203125" style="3" customWidth="1"/>
    <col min="12293" max="12293" width="10.6640625" style="3" customWidth="1"/>
    <col min="12294" max="12296" width="0" style="3" hidden="1" customWidth="1"/>
    <col min="12297" max="12297" width="9.1640625" style="3" customWidth="1"/>
    <col min="12298" max="12298" width="15.83203125" style="3" customWidth="1"/>
    <col min="12299" max="12299" width="16.33203125" style="3" customWidth="1"/>
    <col min="12300" max="12300" width="15.1640625" style="3" customWidth="1"/>
    <col min="12301" max="12544" width="11.5" style="3"/>
    <col min="12545" max="12545" width="2" style="3" customWidth="1"/>
    <col min="12546" max="12546" width="8.1640625" style="3" customWidth="1"/>
    <col min="12547" max="12547" width="21.1640625" style="3" customWidth="1"/>
    <col min="12548" max="12548" width="15.83203125" style="3" customWidth="1"/>
    <col min="12549" max="12549" width="10.6640625" style="3" customWidth="1"/>
    <col min="12550" max="12552" width="0" style="3" hidden="1" customWidth="1"/>
    <col min="12553" max="12553" width="9.1640625" style="3" customWidth="1"/>
    <col min="12554" max="12554" width="15.83203125" style="3" customWidth="1"/>
    <col min="12555" max="12555" width="16.33203125" style="3" customWidth="1"/>
    <col min="12556" max="12556" width="15.1640625" style="3" customWidth="1"/>
    <col min="12557" max="12800" width="11.5" style="3"/>
    <col min="12801" max="12801" width="2" style="3" customWidth="1"/>
    <col min="12802" max="12802" width="8.1640625" style="3" customWidth="1"/>
    <col min="12803" max="12803" width="21.1640625" style="3" customWidth="1"/>
    <col min="12804" max="12804" width="15.83203125" style="3" customWidth="1"/>
    <col min="12805" max="12805" width="10.6640625" style="3" customWidth="1"/>
    <col min="12806" max="12808" width="0" style="3" hidden="1" customWidth="1"/>
    <col min="12809" max="12809" width="9.1640625" style="3" customWidth="1"/>
    <col min="12810" max="12810" width="15.83203125" style="3" customWidth="1"/>
    <col min="12811" max="12811" width="16.33203125" style="3" customWidth="1"/>
    <col min="12812" max="12812" width="15.1640625" style="3" customWidth="1"/>
    <col min="12813" max="13056" width="11.5" style="3"/>
    <col min="13057" max="13057" width="2" style="3" customWidth="1"/>
    <col min="13058" max="13058" width="8.1640625" style="3" customWidth="1"/>
    <col min="13059" max="13059" width="21.1640625" style="3" customWidth="1"/>
    <col min="13060" max="13060" width="15.83203125" style="3" customWidth="1"/>
    <col min="13061" max="13061" width="10.6640625" style="3" customWidth="1"/>
    <col min="13062" max="13064" width="0" style="3" hidden="1" customWidth="1"/>
    <col min="13065" max="13065" width="9.1640625" style="3" customWidth="1"/>
    <col min="13066" max="13066" width="15.83203125" style="3" customWidth="1"/>
    <col min="13067" max="13067" width="16.33203125" style="3" customWidth="1"/>
    <col min="13068" max="13068" width="15.1640625" style="3" customWidth="1"/>
    <col min="13069" max="13312" width="11.5" style="3"/>
    <col min="13313" max="13313" width="2" style="3" customWidth="1"/>
    <col min="13314" max="13314" width="8.1640625" style="3" customWidth="1"/>
    <col min="13315" max="13315" width="21.1640625" style="3" customWidth="1"/>
    <col min="13316" max="13316" width="15.83203125" style="3" customWidth="1"/>
    <col min="13317" max="13317" width="10.6640625" style="3" customWidth="1"/>
    <col min="13318" max="13320" width="0" style="3" hidden="1" customWidth="1"/>
    <col min="13321" max="13321" width="9.1640625" style="3" customWidth="1"/>
    <col min="13322" max="13322" width="15.83203125" style="3" customWidth="1"/>
    <col min="13323" max="13323" width="16.33203125" style="3" customWidth="1"/>
    <col min="13324" max="13324" width="15.1640625" style="3" customWidth="1"/>
    <col min="13325" max="13568" width="11.5" style="3"/>
    <col min="13569" max="13569" width="2" style="3" customWidth="1"/>
    <col min="13570" max="13570" width="8.1640625" style="3" customWidth="1"/>
    <col min="13571" max="13571" width="21.1640625" style="3" customWidth="1"/>
    <col min="13572" max="13572" width="15.83203125" style="3" customWidth="1"/>
    <col min="13573" max="13573" width="10.6640625" style="3" customWidth="1"/>
    <col min="13574" max="13576" width="0" style="3" hidden="1" customWidth="1"/>
    <col min="13577" max="13577" width="9.1640625" style="3" customWidth="1"/>
    <col min="13578" max="13578" width="15.83203125" style="3" customWidth="1"/>
    <col min="13579" max="13579" width="16.33203125" style="3" customWidth="1"/>
    <col min="13580" max="13580" width="15.1640625" style="3" customWidth="1"/>
    <col min="13581" max="13824" width="11.5" style="3"/>
    <col min="13825" max="13825" width="2" style="3" customWidth="1"/>
    <col min="13826" max="13826" width="8.1640625" style="3" customWidth="1"/>
    <col min="13827" max="13827" width="21.1640625" style="3" customWidth="1"/>
    <col min="13828" max="13828" width="15.83203125" style="3" customWidth="1"/>
    <col min="13829" max="13829" width="10.6640625" style="3" customWidth="1"/>
    <col min="13830" max="13832" width="0" style="3" hidden="1" customWidth="1"/>
    <col min="13833" max="13833" width="9.1640625" style="3" customWidth="1"/>
    <col min="13834" max="13834" width="15.83203125" style="3" customWidth="1"/>
    <col min="13835" max="13835" width="16.33203125" style="3" customWidth="1"/>
    <col min="13836" max="13836" width="15.1640625" style="3" customWidth="1"/>
    <col min="13837" max="14080" width="11.5" style="3"/>
    <col min="14081" max="14081" width="2" style="3" customWidth="1"/>
    <col min="14082" max="14082" width="8.1640625" style="3" customWidth="1"/>
    <col min="14083" max="14083" width="21.1640625" style="3" customWidth="1"/>
    <col min="14084" max="14084" width="15.83203125" style="3" customWidth="1"/>
    <col min="14085" max="14085" width="10.6640625" style="3" customWidth="1"/>
    <col min="14086" max="14088" width="0" style="3" hidden="1" customWidth="1"/>
    <col min="14089" max="14089" width="9.1640625" style="3" customWidth="1"/>
    <col min="14090" max="14090" width="15.83203125" style="3" customWidth="1"/>
    <col min="14091" max="14091" width="16.33203125" style="3" customWidth="1"/>
    <col min="14092" max="14092" width="15.1640625" style="3" customWidth="1"/>
    <col min="14093" max="14336" width="11.5" style="3"/>
    <col min="14337" max="14337" width="2" style="3" customWidth="1"/>
    <col min="14338" max="14338" width="8.1640625" style="3" customWidth="1"/>
    <col min="14339" max="14339" width="21.1640625" style="3" customWidth="1"/>
    <col min="14340" max="14340" width="15.83203125" style="3" customWidth="1"/>
    <col min="14341" max="14341" width="10.6640625" style="3" customWidth="1"/>
    <col min="14342" max="14344" width="0" style="3" hidden="1" customWidth="1"/>
    <col min="14345" max="14345" width="9.1640625" style="3" customWidth="1"/>
    <col min="14346" max="14346" width="15.83203125" style="3" customWidth="1"/>
    <col min="14347" max="14347" width="16.33203125" style="3" customWidth="1"/>
    <col min="14348" max="14348" width="15.1640625" style="3" customWidth="1"/>
    <col min="14349" max="14592" width="11.5" style="3"/>
    <col min="14593" max="14593" width="2" style="3" customWidth="1"/>
    <col min="14594" max="14594" width="8.1640625" style="3" customWidth="1"/>
    <col min="14595" max="14595" width="21.1640625" style="3" customWidth="1"/>
    <col min="14596" max="14596" width="15.83203125" style="3" customWidth="1"/>
    <col min="14597" max="14597" width="10.6640625" style="3" customWidth="1"/>
    <col min="14598" max="14600" width="0" style="3" hidden="1" customWidth="1"/>
    <col min="14601" max="14601" width="9.1640625" style="3" customWidth="1"/>
    <col min="14602" max="14602" width="15.83203125" style="3" customWidth="1"/>
    <col min="14603" max="14603" width="16.33203125" style="3" customWidth="1"/>
    <col min="14604" max="14604" width="15.1640625" style="3" customWidth="1"/>
    <col min="14605" max="14848" width="11.5" style="3"/>
    <col min="14849" max="14849" width="2" style="3" customWidth="1"/>
    <col min="14850" max="14850" width="8.1640625" style="3" customWidth="1"/>
    <col min="14851" max="14851" width="21.1640625" style="3" customWidth="1"/>
    <col min="14852" max="14852" width="15.83203125" style="3" customWidth="1"/>
    <col min="14853" max="14853" width="10.6640625" style="3" customWidth="1"/>
    <col min="14854" max="14856" width="0" style="3" hidden="1" customWidth="1"/>
    <col min="14857" max="14857" width="9.1640625" style="3" customWidth="1"/>
    <col min="14858" max="14858" width="15.83203125" style="3" customWidth="1"/>
    <col min="14859" max="14859" width="16.33203125" style="3" customWidth="1"/>
    <col min="14860" max="14860" width="15.1640625" style="3" customWidth="1"/>
    <col min="14861" max="15104" width="11.5" style="3"/>
    <col min="15105" max="15105" width="2" style="3" customWidth="1"/>
    <col min="15106" max="15106" width="8.1640625" style="3" customWidth="1"/>
    <col min="15107" max="15107" width="21.1640625" style="3" customWidth="1"/>
    <col min="15108" max="15108" width="15.83203125" style="3" customWidth="1"/>
    <col min="15109" max="15109" width="10.6640625" style="3" customWidth="1"/>
    <col min="15110" max="15112" width="0" style="3" hidden="1" customWidth="1"/>
    <col min="15113" max="15113" width="9.1640625" style="3" customWidth="1"/>
    <col min="15114" max="15114" width="15.83203125" style="3" customWidth="1"/>
    <col min="15115" max="15115" width="16.33203125" style="3" customWidth="1"/>
    <col min="15116" max="15116" width="15.1640625" style="3" customWidth="1"/>
    <col min="15117" max="15360" width="11.5" style="3"/>
    <col min="15361" max="15361" width="2" style="3" customWidth="1"/>
    <col min="15362" max="15362" width="8.1640625" style="3" customWidth="1"/>
    <col min="15363" max="15363" width="21.1640625" style="3" customWidth="1"/>
    <col min="15364" max="15364" width="15.83203125" style="3" customWidth="1"/>
    <col min="15365" max="15365" width="10.6640625" style="3" customWidth="1"/>
    <col min="15366" max="15368" width="0" style="3" hidden="1" customWidth="1"/>
    <col min="15369" max="15369" width="9.1640625" style="3" customWidth="1"/>
    <col min="15370" max="15370" width="15.83203125" style="3" customWidth="1"/>
    <col min="15371" max="15371" width="16.33203125" style="3" customWidth="1"/>
    <col min="15372" max="15372" width="15.1640625" style="3" customWidth="1"/>
    <col min="15373" max="15616" width="11.5" style="3"/>
    <col min="15617" max="15617" width="2" style="3" customWidth="1"/>
    <col min="15618" max="15618" width="8.1640625" style="3" customWidth="1"/>
    <col min="15619" max="15619" width="21.1640625" style="3" customWidth="1"/>
    <col min="15620" max="15620" width="15.83203125" style="3" customWidth="1"/>
    <col min="15621" max="15621" width="10.6640625" style="3" customWidth="1"/>
    <col min="15622" max="15624" width="0" style="3" hidden="1" customWidth="1"/>
    <col min="15625" max="15625" width="9.1640625" style="3" customWidth="1"/>
    <col min="15626" max="15626" width="15.83203125" style="3" customWidth="1"/>
    <col min="15627" max="15627" width="16.33203125" style="3" customWidth="1"/>
    <col min="15628" max="15628" width="15.1640625" style="3" customWidth="1"/>
    <col min="15629" max="15872" width="11.5" style="3"/>
    <col min="15873" max="15873" width="2" style="3" customWidth="1"/>
    <col min="15874" max="15874" width="8.1640625" style="3" customWidth="1"/>
    <col min="15875" max="15875" width="21.1640625" style="3" customWidth="1"/>
    <col min="15876" max="15876" width="15.83203125" style="3" customWidth="1"/>
    <col min="15877" max="15877" width="10.6640625" style="3" customWidth="1"/>
    <col min="15878" max="15880" width="0" style="3" hidden="1" customWidth="1"/>
    <col min="15881" max="15881" width="9.1640625" style="3" customWidth="1"/>
    <col min="15882" max="15882" width="15.83203125" style="3" customWidth="1"/>
    <col min="15883" max="15883" width="16.33203125" style="3" customWidth="1"/>
    <col min="15884" max="15884" width="15.1640625" style="3" customWidth="1"/>
    <col min="15885" max="16128" width="11.5" style="3"/>
    <col min="16129" max="16129" width="2" style="3" customWidth="1"/>
    <col min="16130" max="16130" width="8.1640625" style="3" customWidth="1"/>
    <col min="16131" max="16131" width="21.1640625" style="3" customWidth="1"/>
    <col min="16132" max="16132" width="15.83203125" style="3" customWidth="1"/>
    <col min="16133" max="16133" width="10.6640625" style="3" customWidth="1"/>
    <col min="16134" max="16136" width="0" style="3" hidden="1" customWidth="1"/>
    <col min="16137" max="16137" width="9.1640625" style="3" customWidth="1"/>
    <col min="16138" max="16138" width="15.83203125" style="3" customWidth="1"/>
    <col min="16139" max="16139" width="16.33203125" style="3" customWidth="1"/>
    <col min="16140" max="16140" width="15.1640625" style="3" customWidth="1"/>
    <col min="16141" max="16384" width="11.5" style="3"/>
  </cols>
  <sheetData>
    <row r="1" spans="2:24" ht="31.75" customHeight="1">
      <c r="B1" s="27" t="s">
        <v>29</v>
      </c>
      <c r="C1" s="2"/>
      <c r="D1" s="28" t="str">
        <f>IF(AND(F3=0,F4=0,F5=0),"",IF(G5&gt;0,"(Cardanische Formel)","(casus irreducibilis)")&amp;"             ")</f>
        <v xml:space="preserve">(Cardanische Formel)             </v>
      </c>
      <c r="E1" s="29"/>
      <c r="F1" s="30" t="s">
        <v>30</v>
      </c>
      <c r="G1" s="31">
        <f>(3*F4-F3*F3)/9</f>
        <v>1.4385291509292653</v>
      </c>
      <c r="H1" s="29"/>
      <c r="L1" s="4" t="s">
        <v>0</v>
      </c>
    </row>
    <row r="2" spans="2:24" ht="20" customHeight="1">
      <c r="B2" s="7" t="s">
        <v>31</v>
      </c>
      <c r="D2" s="14">
        <f>b!L22</f>
        <v>9.2600000000000002E-2</v>
      </c>
      <c r="E2" s="32" t="s">
        <v>1</v>
      </c>
      <c r="F2" s="30" t="s">
        <v>32</v>
      </c>
      <c r="G2" s="31">
        <f>(2*F3^3/27-F3*F4/3+F5)/2</f>
        <v>-27.201763439554501</v>
      </c>
      <c r="H2" s="33">
        <f>MIN(5,MAX(H3:H5))</f>
        <v>5</v>
      </c>
      <c r="K2" s="5">
        <v>0.61956163095105865</v>
      </c>
      <c r="L2" s="6">
        <f>D2*K2^3+D3*K2^2+D4*K2+D5-D6</f>
        <v>-6.5674291882646756</v>
      </c>
      <c r="X2" s="34"/>
    </row>
    <row r="3" spans="2:24" ht="20" customHeight="1">
      <c r="B3" s="35" t="s">
        <v>33</v>
      </c>
      <c r="D3" s="14">
        <f>b!L23</f>
        <v>-0.7258</v>
      </c>
      <c r="E3" s="32" t="s">
        <v>2</v>
      </c>
      <c r="F3" s="29">
        <f>D3/D$2</f>
        <v>-7.838012958963283</v>
      </c>
      <c r="H3" s="33">
        <f>IF(MOD(F3,1)=0,0,LEN(F3)-FIND(",",F3))</f>
        <v>14</v>
      </c>
    </row>
    <row r="4" spans="2:24" ht="20" customHeight="1">
      <c r="B4" s="36" t="s">
        <v>34</v>
      </c>
      <c r="D4" s="14">
        <f>b!L24</f>
        <v>2.2959000000000001</v>
      </c>
      <c r="E4" s="32" t="s">
        <v>3</v>
      </c>
      <c r="F4" s="29">
        <f>D4/D$2</f>
        <v>24.793736501079913</v>
      </c>
      <c r="G4" s="29"/>
      <c r="H4" s="33">
        <f>IF(MOD(F4,1)=0,0,LEN(F4)-FIND(",",F4))</f>
        <v>13</v>
      </c>
    </row>
    <row r="5" spans="2:24" ht="20" customHeight="1">
      <c r="B5" s="8" t="str">
        <f>IF(AND(D6=0,D2=1),"","x³ "&amp;IF(F3&lt;0,"- ","")&amp;IF(F3&gt;0,"+ ","")&amp;IF(F3=0,"",IF(ABS(F3)=1,"x² ",ROUND(ABS(F3),H2)&amp;"x² "))&amp;IF(F4&gt;0,"+ ",IF(F4&lt;0,"- ",""))&amp;IF(ABS(F4)=1,"x ",IF(F4&lt;&gt;0,ROUND(ABS(F4),H2)&amp;"x ",""))&amp;IF(F5&gt;0,"+ ",IF(F5&lt;0,"- ",""))&amp;IF(F5&lt;&gt;0,ROUND(ABS(F5),H2),"")&amp;" = 0")</f>
        <v>x³ - 7,83801x² + 24,79374x - 83,51296 = 0</v>
      </c>
      <c r="D5" s="14">
        <f>b!L25</f>
        <v>0.26669999999999999</v>
      </c>
      <c r="E5" s="32" t="s">
        <v>35</v>
      </c>
      <c r="F5" s="29">
        <f>D5/D$2-D6/D$2</f>
        <v>-83.512958963282941</v>
      </c>
      <c r="G5" s="31">
        <f>ROUND((G2)^2+(G1)^3,9)</f>
        <v>742.91277770600004</v>
      </c>
      <c r="H5" s="33">
        <f>IF(MOD(F5,1)=0,0,LEN(F5)-FIND(",",F5))</f>
        <v>13</v>
      </c>
    </row>
    <row r="6" spans="2:24" ht="19.5" customHeight="1">
      <c r="B6" s="9" t="str">
        <f>IF(B5="","","(Normalform)")</f>
        <v>(Normalform)</v>
      </c>
      <c r="D6" s="14">
        <v>8</v>
      </c>
      <c r="E6" s="32" t="str">
        <f>IF(D6=0,"","  =  e ")</f>
        <v xml:space="preserve">  =  e </v>
      </c>
      <c r="G6" s="37" t="s">
        <v>36</v>
      </c>
      <c r="H6" s="37" t="s">
        <v>37</v>
      </c>
    </row>
    <row r="7" spans="2:24" ht="17">
      <c r="B7" s="38" t="str">
        <f>IF(D2=0,"Tabelle quadr. Gleichung verwenden !",IF(OR(D9="falsch",D10="falsch",D11="falsch"),"Höhere "&amp;IF(B12&lt;&gt;"","bzw. automatische ","")&amp;"Rundung (Zelle B12) einstellen.",""))</f>
        <v/>
      </c>
      <c r="D7" s="29"/>
      <c r="E7" s="39"/>
      <c r="F7" s="40"/>
      <c r="G7" s="41">
        <f>ABS(G1)^0.5</f>
        <v>1.1993869896448206</v>
      </c>
      <c r="H7" s="31" t="e">
        <f>ACOS(G2/G7^3)</f>
        <v>#NUM!</v>
      </c>
    </row>
    <row r="8" spans="2:24" ht="20" customHeight="1">
      <c r="B8" s="10" t="str">
        <f>IF(D2&lt;0,"- ","")&amp;IF(D2=0,"",IF(ABS(D2)=1,"x³ ",ABS(ROUND(D2,5))&amp;"x³ "))&amp;IF(D3&lt;0,"- ","")&amp;IF(D3&gt;0,"+ ","")&amp;IF(D3=0,"",IF(ABS(ROUND(D3,5))=1,"x² ",ABS(D3)&amp;"x² "))&amp;IF(D4&gt;0,"+ ",IF(D4&lt;0,"- ",""))&amp;IF(ABS(D4)=1,"x ",IF(D4&lt;&gt;0,ABS(ROUND(D4,5))&amp;"x ",""))      &amp;IF(D5&gt;0,"+ ",IF(D5&lt;0,"- ",""))&amp;IF(D5&lt;&gt;0,ABS(D5),"")&amp;" = "&amp;IF(D6&lt;0,"- ","")&amp;ABS(D6)</f>
        <v>0,0926x³ - 0,7258x² + 2,2959x + 0,2667 = 8</v>
      </c>
      <c r="C8" s="42"/>
      <c r="E8" s="11" t="str">
        <f>IF(ISTEXT(C10),"",IF(OR(MOD(C9,1)&gt;0,MOD(C10,1)&gt;0,MOD(C11,1)&gt;0),"","= diophantische Gleichung"))</f>
        <v/>
      </c>
      <c r="F8" s="43"/>
      <c r="H8" s="29" t="e">
        <f>IF(MOD(ROUND(F9,6),1)=0,6,16)</f>
        <v>#NUM!</v>
      </c>
    </row>
    <row r="9" spans="2:24" ht="29" customHeight="1">
      <c r="B9" s="12" t="s">
        <v>4</v>
      </c>
      <c r="C9" s="44">
        <f>IF(AND(F3=0,F4=0,F5=0),0,ROUND(IF(G$5&gt;0,(-G2+(G2*G2+(G1^3))^0.5)^(1/3)+(-G2-(G2*G2+(G1^3))^0.5)^(1/3)-F3/3,F9),IF(B12&lt;&gt;"",B12,IF(G5&gt;0,H9,H8))))</f>
        <v>6.0235777300829296</v>
      </c>
      <c r="D9" s="15" t="str">
        <f>IF(ROUND(C9^3+F3*C9^2+F4*C9+F5,5)=0,"OK","falsch")</f>
        <v>OK</v>
      </c>
      <c r="E9" s="45" t="str">
        <f>"Extrema bei X = "&amp;ROUND(MIN(H12,H13),4)&amp;" und X = "&amp;ROUND(MAX(H12,H13),4)</f>
        <v>Extrema bei X = 0 und X = 0</v>
      </c>
      <c r="F9" s="31" t="e">
        <f>G9-G10-F3/3</f>
        <v>#NUM!</v>
      </c>
      <c r="G9" s="31" t="e">
        <f>-2*G7*COS(H7/3-60*PI()/180)</f>
        <v>#NUM!</v>
      </c>
      <c r="H9" s="29">
        <f>IF(MOD(ROUND((-G2+(G2*G2+(G1^3))^0.5)^(1/3)+(-G2-(G2*G2+(G1^3))^0.5)^(1/3)-F3/3,6),1)=0,6,16)</f>
        <v>16</v>
      </c>
      <c r="L9" s="13"/>
    </row>
    <row r="10" spans="2:24" ht="20" customHeight="1">
      <c r="B10" s="12" t="s">
        <v>38</v>
      </c>
      <c r="C10" s="44" t="str">
        <f>IF(AND(F3=0,F4=0,F5=0),0,IF(G$5&gt;0,"komplexe Wurzel",ROUND(F10,IF(B12&lt;&gt;"",B12,H10))))</f>
        <v>komplexe Wurzel</v>
      </c>
      <c r="D10" s="15" t="str">
        <f>IF(OR(C10="",G$5&gt;0),"",IF(ROUND(C10^3+F$3*C10^2+F$4*C10+F$5,5)=0,"OK","falsch"))</f>
        <v/>
      </c>
      <c r="E10" s="45" t="str">
        <f>"Wendepunkt bei X = "&amp;ROUND(-G13/(G12*2),4)</f>
        <v>Wendepunkt bei X = 2,6127</v>
      </c>
      <c r="F10" s="31" t="e">
        <f>-G9-F3/3</f>
        <v>#NUM!</v>
      </c>
      <c r="G10" s="31" t="e">
        <f>-2*G7*COS(H7/3)</f>
        <v>#NUM!</v>
      </c>
      <c r="H10" s="29" t="e">
        <f>IF(MOD(ROUND(F10,6),1)=0,6,16)</f>
        <v>#NUM!</v>
      </c>
      <c r="L10" s="13"/>
    </row>
    <row r="11" spans="2:24" ht="20">
      <c r="B11" s="12" t="s">
        <v>39</v>
      </c>
      <c r="C11" s="44" t="str">
        <f>IF(AND(F3=0,F4=0,F5=0),0,IF(G$5&gt;0,"komplexe Wurzel",ROUND(F11,IF(B12&lt;&gt;"",B12,H11))))</f>
        <v>komplexe Wurzel</v>
      </c>
      <c r="D11" s="15" t="str">
        <f>IF(OR(C11="",G$5&gt;0),"",IF(ROUND(C11^3+F$3*C11^2+F$4*C11+F$5,5)=0,"OK","falsch"))</f>
        <v/>
      </c>
      <c r="E11" s="13"/>
      <c r="F11" s="31" t="e">
        <f>G10-F3/3</f>
        <v>#NUM!</v>
      </c>
      <c r="H11" s="29" t="e">
        <f>IF(MOD(ROUND(F11,6),1)=0,6,16)</f>
        <v>#NUM!</v>
      </c>
      <c r="L11" s="13"/>
    </row>
    <row r="12" spans="2:24" ht="14">
      <c r="B12" s="1"/>
      <c r="E12" s="13"/>
      <c r="F12" s="46" t="s">
        <v>40</v>
      </c>
      <c r="G12" s="43">
        <f>3*D2</f>
        <v>0.27779999999999999</v>
      </c>
      <c r="H12" s="43" t="str">
        <f>IF(G12=0,-(G14-G15)/G13,IF(ISERROR((-G13+(G13*G13-4*G12*(G14-G15))^0.5)/(G12*2)),"komplexe Wurzel",(-G13+(G13*G13-4*G12*(G14-G15))^0.5)/(G12*2)))</f>
        <v>komplexe Wurzel</v>
      </c>
    </row>
    <row r="13" spans="2:24" ht="17">
      <c r="B13" s="43" t="str">
        <f>IF(B12&lt;&gt;"",B12&amp;" Rundungsstellen manuell","automatische Rundung")</f>
        <v>automatische Rundung</v>
      </c>
      <c r="C13" s="38"/>
      <c r="D13" s="47" t="s">
        <v>41</v>
      </c>
      <c r="E13" s="13"/>
      <c r="G13" s="43">
        <f>2*D3</f>
        <v>-1.4516</v>
      </c>
      <c r="H13" s="43" t="str">
        <f>IF(OR(G12=0,4*G12*(G14-G15)-G13*G13=0),"es gibt nur eine Lösung",IF(ISERROR((-G13-(G13*G13-4*G12*(G14-G15))^0.5)/(G12*2)),"komplexe Wurzel",(-G13-(G13*G13-4*G12*(G14-G15))^0.5)/(G12*2)))</f>
        <v>komplexe Wurzel</v>
      </c>
    </row>
    <row r="14" spans="2:24" ht="14">
      <c r="C14" s="48"/>
      <c r="D14" s="5" t="s">
        <v>42</v>
      </c>
      <c r="E14" s="14">
        <v>-2</v>
      </c>
      <c r="G14" s="43">
        <f>D4</f>
        <v>2.2959000000000001</v>
      </c>
      <c r="H14" s="43"/>
    </row>
    <row r="15" spans="2:24" ht="16">
      <c r="B15" s="8"/>
      <c r="C15" s="48"/>
      <c r="D15" s="5" t="s">
        <v>43</v>
      </c>
      <c r="E15" s="14">
        <v>8</v>
      </c>
    </row>
    <row r="16" spans="2:24" ht="14">
      <c r="C16" s="48"/>
      <c r="D16" s="15"/>
      <c r="E16" s="13"/>
    </row>
    <row r="17" spans="2:8" ht="14">
      <c r="D17" s="15"/>
    </row>
    <row r="18" spans="2:8">
      <c r="G18" s="18" t="s">
        <v>6</v>
      </c>
      <c r="H18" s="18" t="s">
        <v>7</v>
      </c>
    </row>
    <row r="19" spans="2:8">
      <c r="B19" s="16" t="s">
        <v>44</v>
      </c>
      <c r="C19" s="17" t="s">
        <v>5</v>
      </c>
      <c r="G19" s="49">
        <f>+E14</f>
        <v>-2</v>
      </c>
      <c r="H19" s="19">
        <f t="shared" ref="H19:H48" si="0">$D$2*G19^3+$D$3*G19^2+$D$4*G19+$D$5-$D$6</f>
        <v>-15.969100000000001</v>
      </c>
    </row>
    <row r="20" spans="2:8">
      <c r="G20" s="49">
        <f t="shared" ref="G20:G48" si="1">G19+($E$15-$E$14)/29</f>
        <v>-1.6551724137931034</v>
      </c>
      <c r="H20" s="19">
        <f t="shared" si="0"/>
        <v>-13.94170391979991</v>
      </c>
    </row>
    <row r="21" spans="2:8">
      <c r="G21" s="49">
        <f t="shared" si="1"/>
        <v>-1.3103448275862069</v>
      </c>
      <c r="H21" s="19">
        <f t="shared" si="0"/>
        <v>-12.196259539136495</v>
      </c>
    </row>
    <row r="22" spans="2:8">
      <c r="G22" s="49">
        <f t="shared" si="1"/>
        <v>-0.96551724137931028</v>
      </c>
      <c r="H22" s="19">
        <f t="shared" si="0"/>
        <v>-10.709986096190907</v>
      </c>
    </row>
    <row r="23" spans="2:8">
      <c r="G23" s="49">
        <f t="shared" si="1"/>
        <v>-0.6206896551724137</v>
      </c>
      <c r="H23" s="19">
        <f t="shared" si="0"/>
        <v>-9.4601028291442866</v>
      </c>
    </row>
    <row r="24" spans="2:8">
      <c r="G24" s="49">
        <f t="shared" si="1"/>
        <v>-0.27586206896551713</v>
      </c>
      <c r="H24" s="19">
        <f t="shared" si="0"/>
        <v>-8.4238289761777843</v>
      </c>
    </row>
    <row r="25" spans="2:8">
      <c r="G25" s="49">
        <f t="shared" si="1"/>
        <v>6.8965517241379448E-2</v>
      </c>
      <c r="H25" s="19">
        <f t="shared" si="0"/>
        <v>-7.5783837754725489</v>
      </c>
    </row>
    <row r="26" spans="2:8">
      <c r="G26" s="49">
        <f t="shared" si="1"/>
        <v>0.41379310344827602</v>
      </c>
      <c r="H26" s="19">
        <f t="shared" si="0"/>
        <v>-6.9009864652097255</v>
      </c>
    </row>
    <row r="27" spans="2:8">
      <c r="G27" s="49">
        <f t="shared" si="1"/>
        <v>0.7586206896551726</v>
      </c>
      <c r="H27" s="19">
        <f t="shared" si="0"/>
        <v>-6.3688562835704623</v>
      </c>
    </row>
    <row r="28" spans="2:8">
      <c r="G28" s="49">
        <f t="shared" si="1"/>
        <v>1.1034482758620692</v>
      </c>
      <c r="H28" s="19">
        <f t="shared" si="0"/>
        <v>-5.9592124687359052</v>
      </c>
    </row>
    <row r="29" spans="2:8">
      <c r="G29" s="49">
        <f t="shared" si="1"/>
        <v>1.4482758620689657</v>
      </c>
      <c r="H29" s="19">
        <f t="shared" si="0"/>
        <v>-5.6492742588872025</v>
      </c>
    </row>
    <row r="30" spans="2:8">
      <c r="G30" s="49">
        <f t="shared" si="1"/>
        <v>1.7931034482758623</v>
      </c>
      <c r="H30" s="19">
        <f t="shared" si="0"/>
        <v>-5.4162608922055018</v>
      </c>
    </row>
    <row r="31" spans="2:8">
      <c r="G31" s="49">
        <f t="shared" si="1"/>
        <v>2.1379310344827589</v>
      </c>
      <c r="H31" s="19">
        <f t="shared" si="0"/>
        <v>-5.2373916068719497</v>
      </c>
    </row>
    <row r="32" spans="2:8">
      <c r="G32" s="49">
        <f t="shared" si="1"/>
        <v>2.4827586206896557</v>
      </c>
      <c r="H32" s="19">
        <f t="shared" si="0"/>
        <v>-5.0898856410676938</v>
      </c>
    </row>
    <row r="33" spans="7:8">
      <c r="G33" s="49">
        <f t="shared" si="1"/>
        <v>2.8275862068965525</v>
      </c>
      <c r="H33" s="19">
        <f t="shared" si="0"/>
        <v>-4.9509622329738807</v>
      </c>
    </row>
    <row r="34" spans="7:8">
      <c r="G34" s="49">
        <f t="shared" si="1"/>
        <v>3.1724137931034493</v>
      </c>
      <c r="H34" s="19">
        <f t="shared" si="0"/>
        <v>-4.7978406207716588</v>
      </c>
    </row>
    <row r="35" spans="7:8">
      <c r="G35" s="49">
        <f t="shared" si="1"/>
        <v>3.5172413793103461</v>
      </c>
      <c r="H35" s="19">
        <f t="shared" si="0"/>
        <v>-4.6077400426421722</v>
      </c>
    </row>
    <row r="36" spans="7:8">
      <c r="G36" s="49">
        <f t="shared" si="1"/>
        <v>3.8620689655172429</v>
      </c>
      <c r="H36" s="19">
        <f t="shared" si="0"/>
        <v>-4.3578797367665736</v>
      </c>
    </row>
    <row r="37" spans="7:8">
      <c r="G37" s="49">
        <f t="shared" si="1"/>
        <v>4.2068965517241397</v>
      </c>
      <c r="H37" s="19">
        <f t="shared" si="0"/>
        <v>-4.0254789413260061</v>
      </c>
    </row>
    <row r="38" spans="7:8">
      <c r="G38" s="49">
        <f t="shared" si="1"/>
        <v>4.5517241379310365</v>
      </c>
      <c r="H38" s="19">
        <f t="shared" si="0"/>
        <v>-3.5877568945016165</v>
      </c>
    </row>
    <row r="39" spans="7:8">
      <c r="G39" s="49">
        <f t="shared" si="1"/>
        <v>4.8965517241379333</v>
      </c>
      <c r="H39" s="19">
        <f t="shared" si="0"/>
        <v>-3.0219328344745531</v>
      </c>
    </row>
    <row r="40" spans="7:8">
      <c r="G40" s="49">
        <f t="shared" si="1"/>
        <v>5.2413793103448301</v>
      </c>
      <c r="H40" s="19">
        <f t="shared" si="0"/>
        <v>-2.3052259994259625</v>
      </c>
    </row>
    <row r="41" spans="7:8">
      <c r="G41" s="49">
        <f t="shared" si="1"/>
        <v>5.5862068965517269</v>
      </c>
      <c r="H41" s="19">
        <f t="shared" si="0"/>
        <v>-1.4148556275369959</v>
      </c>
    </row>
    <row r="42" spans="7:8">
      <c r="G42" s="49">
        <f t="shared" si="1"/>
        <v>5.9310344827586237</v>
      </c>
      <c r="H42" s="19">
        <f t="shared" si="0"/>
        <v>-0.32804095698879721</v>
      </c>
    </row>
    <row r="43" spans="7:8">
      <c r="G43" s="49">
        <f t="shared" si="1"/>
        <v>6.2758620689655205</v>
      </c>
      <c r="H43" s="19">
        <f t="shared" si="0"/>
        <v>0.97799877403749136</v>
      </c>
    </row>
    <row r="44" spans="7:8">
      <c r="G44" s="49">
        <f t="shared" si="1"/>
        <v>6.6206896551724173</v>
      </c>
      <c r="H44" s="19">
        <f t="shared" si="0"/>
        <v>2.5260443273607098</v>
      </c>
    </row>
    <row r="45" spans="7:8">
      <c r="G45" s="49">
        <f t="shared" si="1"/>
        <v>6.9655172413793141</v>
      </c>
      <c r="H45" s="19">
        <f t="shared" si="0"/>
        <v>4.3388764647997249</v>
      </c>
    </row>
    <row r="46" spans="7:8">
      <c r="G46" s="49">
        <f t="shared" si="1"/>
        <v>7.3103448275862108</v>
      </c>
      <c r="H46" s="19">
        <f t="shared" si="0"/>
        <v>6.4392759481733783</v>
      </c>
    </row>
    <row r="47" spans="7:8">
      <c r="G47" s="49">
        <f t="shared" si="1"/>
        <v>7.6551724137931076</v>
      </c>
      <c r="H47" s="19">
        <f t="shared" si="0"/>
        <v>8.8500235393005333</v>
      </c>
    </row>
    <row r="48" spans="7:8">
      <c r="G48" s="49">
        <f t="shared" si="1"/>
        <v>8.0000000000000036</v>
      </c>
      <c r="H48" s="19">
        <f t="shared" si="0"/>
        <v>11.59390000000003</v>
      </c>
    </row>
  </sheetData>
  <conditionalFormatting sqref="D9:D11">
    <cfRule type="expression" dxfId="0" priority="1" stopIfTrue="1">
      <formula>D9="falsch"</formula>
    </cfRule>
  </conditionalFormatting>
  <printOptions gridLinesSet="0"/>
  <pageMargins left="0.38" right="0.24" top="0.89" bottom="0.984251969" header="0.51181102300000003" footer="0.24"/>
  <pageSetup paperSize="9" scale="120" orientation="landscape" blackAndWhite="1" horizontalDpi="300" verticalDpi="300" r:id="rId1"/>
  <headerFooter alignWithMargins="0">
    <oddFooter>&amp;L&amp;8&amp;D&amp;R&amp;8WFRERNAT.XLS; &amp;A  Version: 01.04.1999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2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Deckblatt</vt:lpstr>
      <vt:lpstr>Auswertung</vt:lpstr>
      <vt:lpstr>b</vt:lpstr>
      <vt:lpstr>kubische Gleichung</vt:lpstr>
      <vt:lpstr>'kubische Gleichung'!Druckbereich</vt:lpstr>
      <vt:lpstr>ja_nein</vt:lpstr>
      <vt:lpstr>Auswertung!janein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Michi</dc:creator>
  <cp:keywords/>
  <dc:description/>
  <cp:lastModifiedBy>Anna-Maria Wörndle</cp:lastModifiedBy>
  <cp:lastPrinted>2023-02-23T10:42:20Z</cp:lastPrinted>
  <dcterms:created xsi:type="dcterms:W3CDTF">2017-05-05T13:11:49Z</dcterms:created>
  <dcterms:modified xsi:type="dcterms:W3CDTF">2024-06-03T20:23:14Z</dcterms:modified>
  <cp:category/>
</cp:coreProperties>
</file>